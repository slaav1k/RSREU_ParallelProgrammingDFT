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\Desktop\"/>
    </mc:Choice>
  </mc:AlternateContent>
  <xr:revisionPtr revIDLastSave="0" documentId="13_ncr:1_{FC8DF726-610E-4721-BFDC-40BA09D79061}" xr6:coauthVersionLast="47" xr6:coauthVersionMax="47" xr10:uidLastSave="{00000000-0000-0000-0000-000000000000}"/>
  <bookViews>
    <workbookView xWindow="-96" yWindow="-96" windowWidth="23232" windowHeight="14136" xr2:uid="{D5AF7D28-F194-42E1-845D-D707454986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9" i="1" l="1"/>
  <c r="P9" i="1"/>
  <c r="O9" i="1"/>
  <c r="N9" i="1"/>
  <c r="M9" i="1"/>
  <c r="Q8" i="1"/>
  <c r="P8" i="1"/>
  <c r="O8" i="1"/>
  <c r="Q7" i="1"/>
  <c r="P7" i="1"/>
  <c r="O7" i="1"/>
  <c r="Q6" i="1"/>
  <c r="P6" i="1"/>
  <c r="O6" i="1"/>
  <c r="N6" i="1"/>
  <c r="M6" i="1"/>
  <c r="I40" i="1"/>
  <c r="I33" i="1"/>
  <c r="I26" i="1"/>
  <c r="I19" i="1"/>
  <c r="I12" i="1"/>
  <c r="S69" i="1"/>
  <c r="R69" i="1"/>
  <c r="Q69" i="1"/>
  <c r="P69" i="1"/>
  <c r="O69" i="1"/>
  <c r="N69" i="1"/>
  <c r="J114" i="1"/>
  <c r="G114" i="1"/>
  <c r="D114" i="1"/>
  <c r="J74" i="1"/>
  <c r="G74" i="1"/>
  <c r="D74" i="1"/>
  <c r="S91" i="1"/>
  <c r="R91" i="1"/>
  <c r="Q91" i="1"/>
  <c r="P91" i="1"/>
  <c r="O91" i="1"/>
  <c r="N91" i="1"/>
  <c r="S90" i="1"/>
  <c r="R90" i="1"/>
  <c r="Q90" i="1"/>
  <c r="P90" i="1"/>
  <c r="O90" i="1"/>
  <c r="N90" i="1"/>
  <c r="J188" i="1"/>
  <c r="G188" i="1"/>
  <c r="D188" i="1"/>
  <c r="J148" i="1"/>
  <c r="G148" i="1"/>
  <c r="D148" i="1"/>
  <c r="J107" i="1"/>
  <c r="G107" i="1"/>
  <c r="D107" i="1"/>
  <c r="J67" i="1"/>
  <c r="G67" i="1"/>
  <c r="D67" i="1"/>
  <c r="R47" i="1"/>
  <c r="Q47" i="1"/>
  <c r="P47" i="1"/>
  <c r="O47" i="1"/>
  <c r="N47" i="1"/>
  <c r="I202" i="1"/>
  <c r="I203" i="1" s="1"/>
  <c r="S47" i="1" s="1"/>
  <c r="I195" i="1"/>
  <c r="J195" i="1" s="1"/>
  <c r="S70" i="1" s="1"/>
  <c r="I188" i="1"/>
  <c r="I181" i="1"/>
  <c r="N8" i="1" s="1"/>
  <c r="I174" i="1"/>
  <c r="M8" i="1" s="1"/>
  <c r="F202" i="1"/>
  <c r="F203" i="1" s="1"/>
  <c r="F195" i="1"/>
  <c r="G195" i="1" s="1"/>
  <c r="R70" i="1" s="1"/>
  <c r="F188" i="1"/>
  <c r="F181" i="1"/>
  <c r="F174" i="1"/>
  <c r="C202" i="1"/>
  <c r="C203" i="1" s="1"/>
  <c r="C195" i="1"/>
  <c r="D195" i="1" s="1"/>
  <c r="Q70" i="1" s="1"/>
  <c r="C188" i="1"/>
  <c r="C181" i="1"/>
  <c r="C174" i="1"/>
  <c r="I162" i="1"/>
  <c r="I163" i="1" s="1"/>
  <c r="I155" i="1"/>
  <c r="J155" i="1" s="1"/>
  <c r="P70" i="1" s="1"/>
  <c r="I148" i="1"/>
  <c r="I141" i="1"/>
  <c r="I134" i="1"/>
  <c r="F162" i="1"/>
  <c r="F163" i="1" s="1"/>
  <c r="F155" i="1"/>
  <c r="G155" i="1" s="1"/>
  <c r="O70" i="1" s="1"/>
  <c r="F148" i="1"/>
  <c r="F141" i="1"/>
  <c r="F134" i="1"/>
  <c r="C162" i="1"/>
  <c r="C163" i="1" s="1"/>
  <c r="C155" i="1"/>
  <c r="D155" i="1" s="1"/>
  <c r="N70" i="1" s="1"/>
  <c r="C148" i="1"/>
  <c r="C141" i="1"/>
  <c r="C134" i="1"/>
  <c r="S46" i="1"/>
  <c r="R46" i="1"/>
  <c r="Q46" i="1"/>
  <c r="O46" i="1"/>
  <c r="N46" i="1"/>
  <c r="I122" i="1"/>
  <c r="F122" i="1"/>
  <c r="C122" i="1"/>
  <c r="F82" i="1"/>
  <c r="C82" i="1"/>
  <c r="F121" i="1"/>
  <c r="F114" i="1"/>
  <c r="F107" i="1"/>
  <c r="F100" i="1"/>
  <c r="F93" i="1"/>
  <c r="I121" i="1"/>
  <c r="I114" i="1"/>
  <c r="C121" i="1"/>
  <c r="C114" i="1"/>
  <c r="C107" i="1"/>
  <c r="C100" i="1"/>
  <c r="C93" i="1"/>
  <c r="I81" i="1"/>
  <c r="I82" i="1" s="1"/>
  <c r="P46" i="1" s="1"/>
  <c r="I74" i="1"/>
  <c r="F81" i="1"/>
  <c r="F74" i="1"/>
  <c r="C81" i="1"/>
  <c r="C74" i="1"/>
  <c r="C40" i="1"/>
  <c r="C33" i="1"/>
  <c r="I107" i="1"/>
  <c r="I100" i="1"/>
  <c r="N7" i="1" s="1"/>
  <c r="I93" i="1"/>
  <c r="M7" i="1" s="1"/>
  <c r="I67" i="1"/>
  <c r="I60" i="1"/>
  <c r="I53" i="1"/>
  <c r="F67" i="1"/>
  <c r="F60" i="1"/>
  <c r="F53" i="1"/>
  <c r="C67" i="1"/>
  <c r="C60" i="1"/>
  <c r="C53" i="1"/>
  <c r="C26" i="1"/>
  <c r="C19" i="1"/>
  <c r="C12" i="1"/>
</calcChain>
</file>

<file path=xl/sharedStrings.xml><?xml version="1.0" encoding="utf-8"?>
<sst xmlns="http://schemas.openxmlformats.org/spreadsheetml/2006/main" count="564" uniqueCount="36">
  <si>
    <t>Последовательно</t>
  </si>
  <si>
    <t>Размер фото</t>
  </si>
  <si>
    <t>100х100</t>
  </si>
  <si>
    <t>Замеры, мс</t>
  </si>
  <si>
    <t>100х100, среднее</t>
  </si>
  <si>
    <t>50х50</t>
  </si>
  <si>
    <t>50х50, среднее</t>
  </si>
  <si>
    <t>400х400</t>
  </si>
  <si>
    <t>400х400, среднее</t>
  </si>
  <si>
    <t>OpenMP, 2 потока</t>
  </si>
  <si>
    <t>OpenMP, 4 потока</t>
  </si>
  <si>
    <t>OpenMP, 6 потока</t>
  </si>
  <si>
    <t>OpenMP, 12 потока</t>
  </si>
  <si>
    <t>800х800</t>
  </si>
  <si>
    <t>800х800, среднее</t>
  </si>
  <si>
    <t>1600х1600</t>
  </si>
  <si>
    <t>1600х1600, среднее</t>
  </si>
  <si>
    <t>OpenMP, 10 потока</t>
  </si>
  <si>
    <t>OpenMP, 8 потока</t>
  </si>
  <si>
    <t>Потоки</t>
  </si>
  <si>
    <t>MPI, 2 процесса</t>
  </si>
  <si>
    <t>MPI, 4 процесса</t>
  </si>
  <si>
    <t>MPI, 6 процесса</t>
  </si>
  <si>
    <t>MPI, 8 процесса</t>
  </si>
  <si>
    <t>MPI, 10 процессов</t>
  </si>
  <si>
    <t>MPI, 12 процессов</t>
  </si>
  <si>
    <t>OpenMP</t>
  </si>
  <si>
    <t>MPI</t>
  </si>
  <si>
    <t>400x400</t>
  </si>
  <si>
    <t>800x800</t>
  </si>
  <si>
    <t>1600x1600</t>
  </si>
  <si>
    <t>Архипкин, 543М</t>
  </si>
  <si>
    <t>Преобразование Фурье</t>
  </si>
  <si>
    <t>OpenCL</t>
  </si>
  <si>
    <t>Картинки</t>
  </si>
  <si>
    <t>OpenMP, 12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</si>
</sst>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0" fontId="0" fillId="0" borderId="11" xfId="0" applyFill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1600х1600, </a:t>
            </a:r>
            <a:r>
              <a:rPr lang="en-US"/>
              <a:t>OpenMP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Лист1!$L$45</c:f>
              <c:strCache>
                <c:ptCount val="1"/>
                <c:pt idx="0">
                  <c:v>Потоки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Лист1!$M$45:$S$45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1-4A40-93E3-1EEA65852E91}"/>
            </c:ext>
          </c:extLst>
        </c:ser>
        <c:ser>
          <c:idx val="1"/>
          <c:order val="1"/>
          <c:tx>
            <c:strRef>
              <c:f>Лист1!$L$46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Лист1!$M$46:$S$46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1.8873697367133833</c:v>
                </c:pt>
                <c:pt idx="2">
                  <c:v>3.0431336729876843</c:v>
                </c:pt>
                <c:pt idx="3">
                  <c:v>4.2873082600603301</c:v>
                </c:pt>
                <c:pt idx="4">
                  <c:v>5.508630873230377</c:v>
                </c:pt>
                <c:pt idx="5">
                  <c:v>6.6671457390627396</c:v>
                </c:pt>
                <c:pt idx="6">
                  <c:v>7.4038662161207327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1-4A40-93E3-1EEA65852E91}"/>
            </c:ext>
          </c:extLst>
        </c:ser>
        <c:ser>
          <c:idx val="2"/>
          <c:order val="2"/>
          <c:tx>
            <c:strRef>
              <c:f>Лист1!$L$47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Лист1!$M$47:$S$47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1.9142965322646222</c:v>
                </c:pt>
                <c:pt idx="2">
                  <c:v>3.2519445178046147</c:v>
                </c:pt>
                <c:pt idx="3">
                  <c:v>4.4770723672911679</c:v>
                </c:pt>
                <c:pt idx="4">
                  <c:v>5.8482381561567411</c:v>
                </c:pt>
                <c:pt idx="5">
                  <c:v>7.1033243390533416</c:v>
                </c:pt>
                <c:pt idx="6">
                  <c:v>7.5229762811407692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1-4A40-93E3-1EEA65852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924927"/>
        <c:axId val="1815921087"/>
      </c:lineChart>
      <c:catAx>
        <c:axId val="181592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1087"/>
        <c:crosses val="autoZero"/>
        <c:auto val="1"/>
        <c:lblAlgn val="ctr"/>
        <c:lblOffset val="100"/>
        <c:noMultiLvlLbl val="0"/>
      </c:catAx>
      <c:valAx>
        <c:axId val="18159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400</a:t>
            </a:r>
            <a:r>
              <a:rPr lang="ru-RU"/>
              <a:t>х</a:t>
            </a:r>
            <a:r>
              <a:rPr lang="en-US"/>
              <a:t>400</a:t>
            </a:r>
            <a:r>
              <a:rPr lang="ru-RU"/>
              <a:t>, </a:t>
            </a:r>
            <a:r>
              <a:rPr lang="en-US"/>
              <a:t>OpenMP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Лист1!$L$89</c:f>
              <c:strCache>
                <c:ptCount val="1"/>
                <c:pt idx="0">
                  <c:v>Потоки</c:v>
                </c:pt>
              </c:strCache>
            </c:strRef>
          </c:tx>
          <c:marker>
            <c:symbol val="none"/>
          </c:marker>
          <c:val>
            <c:numRef>
              <c:f>Лист1!$M$89:$S$89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32-47F0-A297-F76B4691530E}"/>
            </c:ext>
          </c:extLst>
        </c:ser>
        <c:ser>
          <c:idx val="4"/>
          <c:order val="1"/>
          <c:tx>
            <c:strRef>
              <c:f>Лист1!$L$90</c:f>
              <c:strCache>
                <c:ptCount val="1"/>
                <c:pt idx="0">
                  <c:v>OpenMP</c:v>
                </c:pt>
              </c:strCache>
            </c:strRef>
          </c:tx>
          <c:marker>
            <c:symbol val="none"/>
          </c:marker>
          <c:val>
            <c:numRef>
              <c:f>Лист1!$M$90:$S$90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1.8250770095123698</c:v>
                </c:pt>
                <c:pt idx="2">
                  <c:v>3.2397345071875647</c:v>
                </c:pt>
                <c:pt idx="3">
                  <c:v>4.5593359790920536</c:v>
                </c:pt>
                <c:pt idx="4">
                  <c:v>5.8443451827036421</c:v>
                </c:pt>
                <c:pt idx="5">
                  <c:v>6.7040278963848561</c:v>
                </c:pt>
                <c:pt idx="6">
                  <c:v>7.42122262486214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32-47F0-A297-F76B4691530E}"/>
            </c:ext>
          </c:extLst>
        </c:ser>
        <c:ser>
          <c:idx val="5"/>
          <c:order val="2"/>
          <c:tx>
            <c:strRef>
              <c:f>Лист1!$L$91</c:f>
              <c:strCache>
                <c:ptCount val="1"/>
                <c:pt idx="0">
                  <c:v>MPI</c:v>
                </c:pt>
              </c:strCache>
            </c:strRef>
          </c:tx>
          <c:marker>
            <c:symbol val="none"/>
          </c:marker>
          <c:val>
            <c:numRef>
              <c:f>Лист1!$M$91:$S$91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2.0744973684790029</c:v>
                </c:pt>
                <c:pt idx="2">
                  <c:v>3.4451799297834995</c:v>
                </c:pt>
                <c:pt idx="3">
                  <c:v>4.9849190390517517</c:v>
                </c:pt>
                <c:pt idx="4">
                  <c:v>6.3621935571013708</c:v>
                </c:pt>
                <c:pt idx="5">
                  <c:v>7.614371160685419</c:v>
                </c:pt>
                <c:pt idx="6">
                  <c:v>7.9297138047138054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32-47F0-A297-F76B4691530E}"/>
            </c:ext>
          </c:extLst>
        </c:ser>
        <c:ser>
          <c:idx val="0"/>
          <c:order val="3"/>
          <c:tx>
            <c:strRef>
              <c:f>Лист1!$L$89</c:f>
              <c:strCache>
                <c:ptCount val="1"/>
                <c:pt idx="0">
                  <c:v>Потоки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Лист1!$M$89:$S$89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2-47F0-A297-F76B4691530E}"/>
            </c:ext>
          </c:extLst>
        </c:ser>
        <c:ser>
          <c:idx val="1"/>
          <c:order val="4"/>
          <c:tx>
            <c:strRef>
              <c:f>Лист1!$L$90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Лист1!$M$90:$S$90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1.8250770095123698</c:v>
                </c:pt>
                <c:pt idx="2">
                  <c:v>3.2397345071875647</c:v>
                </c:pt>
                <c:pt idx="3">
                  <c:v>4.5593359790920536</c:v>
                </c:pt>
                <c:pt idx="4">
                  <c:v>5.8443451827036421</c:v>
                </c:pt>
                <c:pt idx="5">
                  <c:v>6.7040278963848561</c:v>
                </c:pt>
                <c:pt idx="6">
                  <c:v>7.42122262486214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32-47F0-A297-F76B4691530E}"/>
            </c:ext>
          </c:extLst>
        </c:ser>
        <c:ser>
          <c:idx val="2"/>
          <c:order val="5"/>
          <c:tx>
            <c:strRef>
              <c:f>Лист1!$L$91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Лист1!$M$91:$S$91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2.0744973684790029</c:v>
                </c:pt>
                <c:pt idx="2">
                  <c:v>3.4451799297834995</c:v>
                </c:pt>
                <c:pt idx="3">
                  <c:v>4.9849190390517517</c:v>
                </c:pt>
                <c:pt idx="4">
                  <c:v>6.3621935571013708</c:v>
                </c:pt>
                <c:pt idx="5">
                  <c:v>7.614371160685419</c:v>
                </c:pt>
                <c:pt idx="6">
                  <c:v>7.9297138047138054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32-47F0-A297-F76B4691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924927"/>
        <c:axId val="1815921087"/>
      </c:lineChart>
      <c:catAx>
        <c:axId val="181592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1087"/>
        <c:crosses val="autoZero"/>
        <c:auto val="1"/>
        <c:lblAlgn val="ctr"/>
        <c:lblOffset val="100"/>
        <c:noMultiLvlLbl val="0"/>
      </c:catAx>
      <c:valAx>
        <c:axId val="18159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49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800</a:t>
            </a:r>
            <a:r>
              <a:rPr lang="ru-RU"/>
              <a:t>х</a:t>
            </a:r>
            <a:r>
              <a:rPr lang="en-US"/>
              <a:t>800</a:t>
            </a:r>
            <a:r>
              <a:rPr lang="ru-RU"/>
              <a:t>, </a:t>
            </a:r>
            <a:r>
              <a:rPr lang="en-US"/>
              <a:t>OpenMP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Лист1!$L$68</c:f>
              <c:strCache>
                <c:ptCount val="1"/>
                <c:pt idx="0">
                  <c:v>Потоки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Лист1!$M$68:$S$68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0-464D-B99C-08FC95EB5376}"/>
            </c:ext>
          </c:extLst>
        </c:ser>
        <c:ser>
          <c:idx val="1"/>
          <c:order val="1"/>
          <c:tx>
            <c:strRef>
              <c:f>Лист1!$L$69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Лист1!$M$69:$S$69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1.7510200769400479</c:v>
                </c:pt>
                <c:pt idx="2">
                  <c:v>3.1161460942400816</c:v>
                </c:pt>
                <c:pt idx="3">
                  <c:v>4.3826404316090128</c:v>
                </c:pt>
                <c:pt idx="4">
                  <c:v>5.7885316678542988</c:v>
                </c:pt>
                <c:pt idx="5">
                  <c:v>6.8787794259755533</c:v>
                </c:pt>
                <c:pt idx="6">
                  <c:v>7.42122262486214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0-464D-B99C-08FC95EB5376}"/>
            </c:ext>
          </c:extLst>
        </c:ser>
        <c:ser>
          <c:idx val="2"/>
          <c:order val="2"/>
          <c:tx>
            <c:strRef>
              <c:f>Лист1!$L$70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Лист1!$M$70:$S$70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1.9512115860120098</c:v>
                </c:pt>
                <c:pt idx="2">
                  <c:v>2.9507779881282561</c:v>
                </c:pt>
                <c:pt idx="3">
                  <c:v>4.5363374766772653</c:v>
                </c:pt>
                <c:pt idx="4">
                  <c:v>5.9705745019369116</c:v>
                </c:pt>
                <c:pt idx="5">
                  <c:v>7.1956252149355455</c:v>
                </c:pt>
                <c:pt idx="6">
                  <c:v>7.7731059326804006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10-464D-B99C-08FC95EB5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924927"/>
        <c:axId val="1815921087"/>
      </c:lineChart>
      <c:catAx>
        <c:axId val="181592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1087"/>
        <c:crosses val="autoZero"/>
        <c:auto val="1"/>
        <c:lblAlgn val="ctr"/>
        <c:lblOffset val="100"/>
        <c:noMultiLvlLbl val="0"/>
      </c:catAx>
      <c:valAx>
        <c:axId val="18159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OpenMP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Лист1!$W$46</c:f>
              <c:strCache>
                <c:ptCount val="1"/>
                <c:pt idx="0">
                  <c:v>1600x1600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Лист1!$X$45:$AD$45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Лист1!$X$46:$AD$46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1.8873697367133833</c:v>
                </c:pt>
                <c:pt idx="2">
                  <c:v>3.0431336729876843</c:v>
                </c:pt>
                <c:pt idx="3">
                  <c:v>4.2873082600603301</c:v>
                </c:pt>
                <c:pt idx="4">
                  <c:v>5.508630873230377</c:v>
                </c:pt>
                <c:pt idx="5">
                  <c:v>6.6671457390627396</c:v>
                </c:pt>
                <c:pt idx="6">
                  <c:v>7.4038662161207327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0-49C7-9F9A-DE48D0B030A5}"/>
            </c:ext>
          </c:extLst>
        </c:ser>
        <c:ser>
          <c:idx val="1"/>
          <c:order val="1"/>
          <c:tx>
            <c:strRef>
              <c:f>Лист1!$W$47</c:f>
              <c:strCache>
                <c:ptCount val="1"/>
                <c:pt idx="0">
                  <c:v>800x800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Лист1!$X$45:$AD$45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Лист1!$X$47:$AD$47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1.7510200769400479</c:v>
                </c:pt>
                <c:pt idx="2">
                  <c:v>3.1161460942400816</c:v>
                </c:pt>
                <c:pt idx="3">
                  <c:v>4.3826404316090128</c:v>
                </c:pt>
                <c:pt idx="4">
                  <c:v>5.7885316678542988</c:v>
                </c:pt>
                <c:pt idx="5">
                  <c:v>6.8787794259755533</c:v>
                </c:pt>
                <c:pt idx="6">
                  <c:v>7.42122262486214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0-49C7-9F9A-DE48D0B030A5}"/>
            </c:ext>
          </c:extLst>
        </c:ser>
        <c:ser>
          <c:idx val="2"/>
          <c:order val="2"/>
          <c:tx>
            <c:strRef>
              <c:f>Лист1!$W$48</c:f>
              <c:strCache>
                <c:ptCount val="1"/>
                <c:pt idx="0">
                  <c:v>400x400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Лист1!$X$45:$AD$45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Лист1!$X$48:$AD$48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1.8250770095123698</c:v>
                </c:pt>
                <c:pt idx="2">
                  <c:v>3.2397345071875647</c:v>
                </c:pt>
                <c:pt idx="3">
                  <c:v>4.5593359790920536</c:v>
                </c:pt>
                <c:pt idx="4">
                  <c:v>5.8443451827036421</c:v>
                </c:pt>
                <c:pt idx="5">
                  <c:v>6.7040278963848561</c:v>
                </c:pt>
                <c:pt idx="6">
                  <c:v>7.42122262486214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0-49C7-9F9A-DE48D0B0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77807"/>
        <c:axId val="1821778287"/>
      </c:lineChart>
      <c:catAx>
        <c:axId val="18217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1778287"/>
        <c:crosses val="autoZero"/>
        <c:auto val="1"/>
        <c:lblAlgn val="ctr"/>
        <c:lblOffset val="100"/>
        <c:noMultiLvlLbl val="0"/>
      </c:catAx>
      <c:valAx>
        <c:axId val="182177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17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Лист1!$W$68</c:f>
              <c:strCache>
                <c:ptCount val="1"/>
                <c:pt idx="0">
                  <c:v>1600x1600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Лист1!$X$67:$AD$67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Лист1!$X$68:$AD$68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1.9142965322646222</c:v>
                </c:pt>
                <c:pt idx="2">
                  <c:v>3.2519445178046147</c:v>
                </c:pt>
                <c:pt idx="3">
                  <c:v>4.4770723672911679</c:v>
                </c:pt>
                <c:pt idx="4">
                  <c:v>5.8482381561567411</c:v>
                </c:pt>
                <c:pt idx="5">
                  <c:v>7.1033243390533416</c:v>
                </c:pt>
                <c:pt idx="6">
                  <c:v>7.5229762811407692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B-4F93-A716-42885FC1D2B1}"/>
            </c:ext>
          </c:extLst>
        </c:ser>
        <c:ser>
          <c:idx val="1"/>
          <c:order val="1"/>
          <c:tx>
            <c:strRef>
              <c:f>Лист1!$W$69</c:f>
              <c:strCache>
                <c:ptCount val="1"/>
                <c:pt idx="0">
                  <c:v>800x800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Лист1!$X$67:$AD$67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Лист1!$X$69:$AD$69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1.9512115860120098</c:v>
                </c:pt>
                <c:pt idx="2">
                  <c:v>2.9507779881282561</c:v>
                </c:pt>
                <c:pt idx="3">
                  <c:v>4.5363374766772653</c:v>
                </c:pt>
                <c:pt idx="4">
                  <c:v>5.9705745019369116</c:v>
                </c:pt>
                <c:pt idx="5">
                  <c:v>7.1956252149355455</c:v>
                </c:pt>
                <c:pt idx="6">
                  <c:v>7.7731059326804006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B-4F93-A716-42885FC1D2B1}"/>
            </c:ext>
          </c:extLst>
        </c:ser>
        <c:ser>
          <c:idx val="2"/>
          <c:order val="2"/>
          <c:tx>
            <c:strRef>
              <c:f>Лист1!$W$70</c:f>
              <c:strCache>
                <c:ptCount val="1"/>
                <c:pt idx="0">
                  <c:v>400x400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Лист1!$X$67:$AD$67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Лист1!$X$70:$AD$70</c:f>
              <c:numCache>
                <c:formatCode>0.00</c:formatCode>
                <c:ptCount val="7"/>
                <c:pt idx="0" formatCode="General">
                  <c:v>1</c:v>
                </c:pt>
                <c:pt idx="1">
                  <c:v>2.0744973684790029</c:v>
                </c:pt>
                <c:pt idx="2">
                  <c:v>3.4451799297834995</c:v>
                </c:pt>
                <c:pt idx="3">
                  <c:v>4.9849190390517517</c:v>
                </c:pt>
                <c:pt idx="4">
                  <c:v>6.3621935571013708</c:v>
                </c:pt>
                <c:pt idx="5">
                  <c:v>7.614371160685419</c:v>
                </c:pt>
                <c:pt idx="6">
                  <c:v>7.9297138047138054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B-4F93-A716-42885FC1D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913407"/>
        <c:axId val="1815914847"/>
      </c:lineChart>
      <c:catAx>
        <c:axId val="181591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14847"/>
        <c:crosses val="autoZero"/>
        <c:auto val="1"/>
        <c:lblAlgn val="ctr"/>
        <c:lblOffset val="100"/>
        <c:noMultiLvlLbl val="0"/>
      </c:catAx>
      <c:valAx>
        <c:axId val="18159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1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 зависимости от размера фото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Лист1!$L$6</c:f>
              <c:strCache>
                <c:ptCount val="1"/>
                <c:pt idx="0">
                  <c:v>Последовательно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Лист1!$M$5:$Q$5</c:f>
              <c:strCache>
                <c:ptCount val="5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  <c:pt idx="3">
                  <c:v>800х800</c:v>
                </c:pt>
                <c:pt idx="4">
                  <c:v>1600х1600</c:v>
                </c:pt>
              </c:strCache>
            </c:strRef>
          </c:cat>
          <c:val>
            <c:numRef>
              <c:f>Лист1!$M$6:$Q$6</c:f>
              <c:numCache>
                <c:formatCode>0.00</c:formatCode>
                <c:ptCount val="5"/>
                <c:pt idx="0">
                  <c:v>215.5</c:v>
                </c:pt>
                <c:pt idx="1">
                  <c:v>586.16666666666663</c:v>
                </c:pt>
                <c:pt idx="2">
                  <c:v>15700.833333333334</c:v>
                </c:pt>
                <c:pt idx="3">
                  <c:v>115080.83333333333</c:v>
                </c:pt>
                <c:pt idx="4">
                  <c:v>890674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4-46DF-8239-79AEA17C0EB1}"/>
            </c:ext>
          </c:extLst>
        </c:ser>
        <c:ser>
          <c:idx val="1"/>
          <c:order val="1"/>
          <c:tx>
            <c:strRef>
              <c:f>Лист1!$L$7</c:f>
              <c:strCache>
                <c:ptCount val="1"/>
                <c:pt idx="0">
                  <c:v>OpenMP, 12 потоков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Лист1!$M$5:$Q$5</c:f>
              <c:strCache>
                <c:ptCount val="5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  <c:pt idx="3">
                  <c:v>800х800</c:v>
                </c:pt>
                <c:pt idx="4">
                  <c:v>1600х1600</c:v>
                </c:pt>
              </c:strCache>
            </c:strRef>
          </c:cat>
          <c:val>
            <c:numRef>
              <c:f>Лист1!$M$7:$Q$7</c:f>
              <c:numCache>
                <c:formatCode>0.00</c:formatCode>
                <c:ptCount val="5"/>
                <c:pt idx="0">
                  <c:v>209</c:v>
                </c:pt>
                <c:pt idx="1">
                  <c:v>402.5</c:v>
                </c:pt>
                <c:pt idx="2">
                  <c:v>2115.6666666666665</c:v>
                </c:pt>
                <c:pt idx="3">
                  <c:v>15779.333333333334</c:v>
                </c:pt>
                <c:pt idx="4">
                  <c:v>120298.5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4-46DF-8239-79AEA17C0EB1}"/>
            </c:ext>
          </c:extLst>
        </c:ser>
        <c:ser>
          <c:idx val="2"/>
          <c:order val="2"/>
          <c:tx>
            <c:strRef>
              <c:f>Лист1!$L$8</c:f>
              <c:strCache>
                <c:ptCount val="1"/>
                <c:pt idx="0">
                  <c:v>MPI, 12 процессов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Лист1!$M$5:$Q$5</c:f>
              <c:strCache>
                <c:ptCount val="5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  <c:pt idx="3">
                  <c:v>800х800</c:v>
                </c:pt>
                <c:pt idx="4">
                  <c:v>1600х1600</c:v>
                </c:pt>
              </c:strCache>
            </c:strRef>
          </c:cat>
          <c:val>
            <c:numRef>
              <c:f>Лист1!$M$8:$Q$8</c:f>
              <c:numCache>
                <c:formatCode>0.00</c:formatCode>
                <c:ptCount val="5"/>
                <c:pt idx="0">
                  <c:v>7.166666666666667</c:v>
                </c:pt>
                <c:pt idx="1">
                  <c:v>44</c:v>
                </c:pt>
                <c:pt idx="2">
                  <c:v>1980</c:v>
                </c:pt>
                <c:pt idx="3">
                  <c:v>14805</c:v>
                </c:pt>
                <c:pt idx="4">
                  <c:v>118393.83333333333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4-46DF-8239-79AEA17C0EB1}"/>
            </c:ext>
          </c:extLst>
        </c:ser>
        <c:ser>
          <c:idx val="3"/>
          <c:order val="3"/>
          <c:tx>
            <c:strRef>
              <c:f>Лист1!$L$9</c:f>
              <c:strCache>
                <c:ptCount val="1"/>
                <c:pt idx="0">
                  <c:v>OpenCL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Лист1!$M$5:$Q$5</c:f>
              <c:strCache>
                <c:ptCount val="5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  <c:pt idx="3">
                  <c:v>800х800</c:v>
                </c:pt>
                <c:pt idx="4">
                  <c:v>1600х1600</c:v>
                </c:pt>
              </c:strCache>
            </c:strRef>
          </c:cat>
          <c:val>
            <c:numRef>
              <c:f>Лист1!$M$9:$Q$9</c:f>
              <c:numCache>
                <c:formatCode>0.00</c:formatCode>
                <c:ptCount val="5"/>
                <c:pt idx="0">
                  <c:v>446</c:v>
                </c:pt>
                <c:pt idx="1">
                  <c:v>462.33333333333331</c:v>
                </c:pt>
                <c:pt idx="2">
                  <c:v>730.33333333333337</c:v>
                </c:pt>
                <c:pt idx="3">
                  <c:v>2289.5</c:v>
                </c:pt>
                <c:pt idx="4">
                  <c:v>14968.833333333334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54-46DF-8239-79AEA17C0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35375"/>
        <c:axId val="559743055"/>
      </c:lineChart>
      <c:catAx>
        <c:axId val="55973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43055"/>
        <c:crosses val="autoZero"/>
        <c:auto val="1"/>
        <c:lblAlgn val="ctr"/>
        <c:lblOffset val="100"/>
        <c:noMultiLvlLbl val="0"/>
      </c:catAx>
      <c:valAx>
        <c:axId val="5597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3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Время в зависимости от размера фото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Лист1!$L$6</c:f>
              <c:strCache>
                <c:ptCount val="1"/>
                <c:pt idx="0">
                  <c:v>Последовательно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Лист1!$M$5:$O$5</c:f>
              <c:strCache>
                <c:ptCount val="3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</c:strCache>
            </c:strRef>
          </c:cat>
          <c:val>
            <c:numRef>
              <c:f>Лист1!$M$6:$O$6</c:f>
              <c:numCache>
                <c:formatCode>0.00</c:formatCode>
                <c:ptCount val="3"/>
                <c:pt idx="0">
                  <c:v>215.5</c:v>
                </c:pt>
                <c:pt idx="1">
                  <c:v>586.16666666666663</c:v>
                </c:pt>
                <c:pt idx="2">
                  <c:v>15700.833333333334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8-4F28-9B7B-09E59E31DFF6}"/>
            </c:ext>
          </c:extLst>
        </c:ser>
        <c:ser>
          <c:idx val="1"/>
          <c:order val="1"/>
          <c:tx>
            <c:strRef>
              <c:f>Лист1!$L$7</c:f>
              <c:strCache>
                <c:ptCount val="1"/>
                <c:pt idx="0">
                  <c:v>OpenMP, 12 потоков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Лист1!$M$5:$O$5</c:f>
              <c:strCache>
                <c:ptCount val="3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</c:strCache>
            </c:strRef>
          </c:cat>
          <c:val>
            <c:numRef>
              <c:f>Лист1!$M$7:$O$7</c:f>
              <c:numCache>
                <c:formatCode>0.00</c:formatCode>
                <c:ptCount val="3"/>
                <c:pt idx="0">
                  <c:v>209</c:v>
                </c:pt>
                <c:pt idx="1">
                  <c:v>402.5</c:v>
                </c:pt>
                <c:pt idx="2">
                  <c:v>2115.6666666666665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8-4F28-9B7B-09E59E31DFF6}"/>
            </c:ext>
          </c:extLst>
        </c:ser>
        <c:ser>
          <c:idx val="2"/>
          <c:order val="2"/>
          <c:tx>
            <c:strRef>
              <c:f>Лист1!$L$8</c:f>
              <c:strCache>
                <c:ptCount val="1"/>
                <c:pt idx="0">
                  <c:v>MPI, 12 процессов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Лист1!$M$5:$O$5</c:f>
              <c:strCache>
                <c:ptCount val="3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</c:strCache>
            </c:strRef>
          </c:cat>
          <c:val>
            <c:numRef>
              <c:f>Лист1!$M$8:$O$8</c:f>
              <c:numCache>
                <c:formatCode>0.00</c:formatCode>
                <c:ptCount val="3"/>
                <c:pt idx="0">
                  <c:v>7.166666666666667</c:v>
                </c:pt>
                <c:pt idx="1">
                  <c:v>44</c:v>
                </c:pt>
                <c:pt idx="2">
                  <c:v>1980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8-4F28-9B7B-09E59E31DFF6}"/>
            </c:ext>
          </c:extLst>
        </c:ser>
        <c:ser>
          <c:idx val="3"/>
          <c:order val="3"/>
          <c:tx>
            <c:strRef>
              <c:f>Лист1!$L$9</c:f>
              <c:strCache>
                <c:ptCount val="1"/>
                <c:pt idx="0">
                  <c:v>OpenCL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Лист1!$M$5:$O$5</c:f>
              <c:strCache>
                <c:ptCount val="3"/>
                <c:pt idx="0">
                  <c:v>50х50</c:v>
                </c:pt>
                <c:pt idx="1">
                  <c:v>100х100</c:v>
                </c:pt>
                <c:pt idx="2">
                  <c:v>400х400</c:v>
                </c:pt>
              </c:strCache>
            </c:strRef>
          </c:cat>
          <c:val>
            <c:numRef>
              <c:f>Лист1!$M$9:$O$9</c:f>
              <c:numCache>
                <c:formatCode>0.00</c:formatCode>
                <c:ptCount val="3"/>
                <c:pt idx="0">
                  <c:v>446</c:v>
                </c:pt>
                <c:pt idx="1">
                  <c:v>462.33333333333331</c:v>
                </c:pt>
                <c:pt idx="2">
                  <c:v>730.33333333333337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8-4F28-9B7B-09E59E31D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288495"/>
        <c:axId val="554270255"/>
      </c:lineChart>
      <c:catAx>
        <c:axId val="5542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70255"/>
        <c:crosses val="autoZero"/>
        <c:auto val="1"/>
        <c:lblAlgn val="ctr"/>
        <c:lblOffset val="100"/>
        <c:noMultiLvlLbl val="0"/>
      </c:catAx>
      <c:valAx>
        <c:axId val="5542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8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639317</xdr:colOff>
      <xdr:row>49</xdr:row>
      <xdr:rowOff>19840</xdr:rowOff>
    </xdr:from>
    <xdr:to>
      <xdr:col>17</xdr:col>
      <xdr:colOff>504123</xdr:colOff>
      <xdr:row>63</xdr:row>
      <xdr:rowOff>181414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58C7B01-9036-039E-97F1-39DE4D69B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470322</xdr:colOff>
      <xdr:row>94</xdr:row>
      <xdr:rowOff>67155</xdr:rowOff>
    </xdr:from>
    <xdr:to>
      <xdr:col>18</xdr:col>
      <xdr:colOff>335127</xdr:colOff>
      <xdr:row>109</xdr:row>
      <xdr:rowOff>43832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70464A3-F6BF-4B84-8EDB-F77B0C0B1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461179</xdr:colOff>
      <xdr:row>71</xdr:row>
      <xdr:rowOff>6376</xdr:rowOff>
    </xdr:from>
    <xdr:to>
      <xdr:col>18</xdr:col>
      <xdr:colOff>325984</xdr:colOff>
      <xdr:row>85</xdr:row>
      <xdr:rowOff>166984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120FCC0-AD41-48D1-AD84-AD748D42F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594895</xdr:colOff>
      <xdr:row>49</xdr:row>
      <xdr:rowOff>52137</xdr:rowOff>
    </xdr:from>
    <xdr:to>
      <xdr:col>30</xdr:col>
      <xdr:colOff>33421</xdr:colOff>
      <xdr:row>64</xdr:row>
      <xdr:rowOff>61495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DD43FDA-0E39-72F3-16D8-983266051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628316</xdr:colOff>
      <xdr:row>71</xdr:row>
      <xdr:rowOff>105611</xdr:rowOff>
    </xdr:from>
    <xdr:to>
      <xdr:col>30</xdr:col>
      <xdr:colOff>66842</xdr:colOff>
      <xdr:row>86</xdr:row>
      <xdr:rowOff>108284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3DD3C2B-F1AC-EAF5-0C7D-4E726D961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587643</xdr:colOff>
      <xdr:row>11</xdr:row>
      <xdr:rowOff>77492</xdr:rowOff>
    </xdr:from>
    <xdr:to>
      <xdr:col>21</xdr:col>
      <xdr:colOff>490779</xdr:colOff>
      <xdr:row>35</xdr:row>
      <xdr:rowOff>70388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9E41AD-CDB1-8107-AB6F-E4FBBF5C0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71033</xdr:colOff>
      <xdr:row>1</xdr:row>
      <xdr:rowOff>167898</xdr:rowOff>
    </xdr:from>
    <xdr:to>
      <xdr:col>30</xdr:col>
      <xdr:colOff>167897</xdr:colOff>
      <xdr:row>35</xdr:row>
      <xdr:rowOff>161441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C4C2685-CA22-7A26-2DE8-B6FAC5FD1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4388-E1B2-46D9-A770-5225380685DB}">
  <dimension ref="B1:AD203"/>
  <sheetViews>
    <sheetView tabSelected="1" zoomScale="59" zoomScaleNormal="70" workbookViewId="0">
      <selection activeCell="J7" sqref="J7"/>
    </sheetView>
  </sheetViews>
  <sheetFormatPr defaultRowHeight="14.4" x14ac:dyDescent="0.55000000000000004"/>
  <cols>
    <col min="2" max="2" width="20.15625" customWidth="1"/>
    <col min="3" max="3" width="12.83984375" customWidth="1"/>
    <col min="4" max="4" width="9.41796875" bestFit="1" customWidth="1"/>
    <col min="5" max="5" width="17.83984375" customWidth="1"/>
    <col min="6" max="6" width="16.41796875" customWidth="1"/>
    <col min="8" max="8" width="18.578125" customWidth="1"/>
    <col min="9" max="9" width="12.83984375" customWidth="1"/>
    <col min="12" max="12" width="18.578125" customWidth="1"/>
    <col min="16" max="17" width="9.20703125" bestFit="1" customWidth="1"/>
    <col min="19" max="19" width="9.3671875" bestFit="1" customWidth="1"/>
  </cols>
  <sheetData>
    <row r="1" spans="2:17" x14ac:dyDescent="0.55000000000000004">
      <c r="B1" t="s">
        <v>31</v>
      </c>
      <c r="C1" t="s">
        <v>32</v>
      </c>
    </row>
    <row r="4" spans="2:17" ht="14.7" thickBot="1" x14ac:dyDescent="0.6">
      <c r="B4" t="s">
        <v>0</v>
      </c>
      <c r="H4" t="s">
        <v>33</v>
      </c>
    </row>
    <row r="5" spans="2:17" x14ac:dyDescent="0.55000000000000004">
      <c r="B5" s="1" t="s">
        <v>1</v>
      </c>
      <c r="C5" s="2" t="s">
        <v>3</v>
      </c>
      <c r="H5" s="1" t="s">
        <v>1</v>
      </c>
      <c r="I5" s="2" t="s">
        <v>3</v>
      </c>
      <c r="L5" t="s">
        <v>34</v>
      </c>
      <c r="M5" t="s">
        <v>5</v>
      </c>
      <c r="N5" t="s">
        <v>2</v>
      </c>
      <c r="O5" t="s">
        <v>7</v>
      </c>
      <c r="P5" t="s">
        <v>13</v>
      </c>
      <c r="Q5" t="s">
        <v>15</v>
      </c>
    </row>
    <row r="6" spans="2:17" x14ac:dyDescent="0.55000000000000004">
      <c r="B6" s="3" t="s">
        <v>5</v>
      </c>
      <c r="C6" s="4">
        <v>228</v>
      </c>
      <c r="H6" s="3" t="s">
        <v>5</v>
      </c>
      <c r="I6" s="4">
        <v>684</v>
      </c>
      <c r="L6" t="s">
        <v>0</v>
      </c>
      <c r="M6" s="12">
        <f>C12</f>
        <v>215.5</v>
      </c>
      <c r="N6" s="12">
        <f>C19</f>
        <v>586.16666666666663</v>
      </c>
      <c r="O6" s="12">
        <f>C26</f>
        <v>15700.833333333334</v>
      </c>
      <c r="P6" s="12">
        <f>C33</f>
        <v>115080.83333333333</v>
      </c>
      <c r="Q6" s="12">
        <f>C40</f>
        <v>890674</v>
      </c>
    </row>
    <row r="7" spans="2:17" x14ac:dyDescent="0.55000000000000004">
      <c r="B7" s="3" t="s">
        <v>5</v>
      </c>
      <c r="C7" s="4">
        <v>233</v>
      </c>
      <c r="H7" s="3" t="s">
        <v>5</v>
      </c>
      <c r="I7" s="4">
        <v>217</v>
      </c>
      <c r="L7" t="s">
        <v>35</v>
      </c>
      <c r="M7" s="12">
        <f>I93</f>
        <v>209</v>
      </c>
      <c r="N7" s="12">
        <f>I100</f>
        <v>402.5</v>
      </c>
      <c r="O7" s="12">
        <f>I107</f>
        <v>2115.6666666666665</v>
      </c>
      <c r="P7" s="12">
        <f>I114</f>
        <v>15779.333333333334</v>
      </c>
      <c r="Q7" s="12">
        <f>I121</f>
        <v>120298.5</v>
      </c>
    </row>
    <row r="8" spans="2:17" x14ac:dyDescent="0.55000000000000004">
      <c r="B8" s="3" t="s">
        <v>5</v>
      </c>
      <c r="C8" s="4">
        <v>199</v>
      </c>
      <c r="H8" s="3" t="s">
        <v>5</v>
      </c>
      <c r="I8" s="4">
        <v>698</v>
      </c>
      <c r="L8" t="s">
        <v>25</v>
      </c>
      <c r="M8" s="12">
        <f>I174</f>
        <v>7.166666666666667</v>
      </c>
      <c r="N8" s="12">
        <f>I181</f>
        <v>44</v>
      </c>
      <c r="O8" s="12">
        <f>I188</f>
        <v>1980</v>
      </c>
      <c r="P8" s="12">
        <f>I195</f>
        <v>14805</v>
      </c>
      <c r="Q8" s="12">
        <f>I202</f>
        <v>118393.83333333333</v>
      </c>
    </row>
    <row r="9" spans="2:17" x14ac:dyDescent="0.55000000000000004">
      <c r="B9" s="3" t="s">
        <v>5</v>
      </c>
      <c r="C9" s="4">
        <v>210</v>
      </c>
      <c r="H9" s="3" t="s">
        <v>5</v>
      </c>
      <c r="I9" s="4">
        <v>211</v>
      </c>
      <c r="L9" t="s">
        <v>33</v>
      </c>
      <c r="M9" s="12">
        <f>I12</f>
        <v>446</v>
      </c>
      <c r="N9" s="12">
        <f>I19</f>
        <v>462.33333333333331</v>
      </c>
      <c r="O9" s="12">
        <f>I26</f>
        <v>730.33333333333337</v>
      </c>
      <c r="P9" s="12">
        <f>I33</f>
        <v>2289.5</v>
      </c>
      <c r="Q9" s="12">
        <f>I40</f>
        <v>14968.833333333334</v>
      </c>
    </row>
    <row r="10" spans="2:17" x14ac:dyDescent="0.55000000000000004">
      <c r="B10" s="3" t="s">
        <v>5</v>
      </c>
      <c r="C10" s="4">
        <v>229</v>
      </c>
      <c r="H10" s="3" t="s">
        <v>5</v>
      </c>
      <c r="I10" s="4">
        <v>657</v>
      </c>
    </row>
    <row r="11" spans="2:17" ht="14.7" thickBot="1" x14ac:dyDescent="0.6">
      <c r="B11" s="7" t="s">
        <v>5</v>
      </c>
      <c r="C11" s="8">
        <v>194</v>
      </c>
      <c r="H11" s="7" t="s">
        <v>5</v>
      </c>
      <c r="I11" s="8">
        <v>209</v>
      </c>
    </row>
    <row r="12" spans="2:17" ht="14.7" thickBot="1" x14ac:dyDescent="0.6">
      <c r="B12" s="9" t="s">
        <v>6</v>
      </c>
      <c r="C12" s="10">
        <f>AVERAGE(C6:C11)</f>
        <v>215.5</v>
      </c>
      <c r="H12" s="9" t="s">
        <v>6</v>
      </c>
      <c r="I12" s="10">
        <f>AVERAGE(I6:I11)</f>
        <v>446</v>
      </c>
    </row>
    <row r="13" spans="2:17" x14ac:dyDescent="0.55000000000000004">
      <c r="B13" s="1" t="s">
        <v>2</v>
      </c>
      <c r="C13" s="2">
        <v>624</v>
      </c>
      <c r="H13" s="1" t="s">
        <v>2</v>
      </c>
      <c r="I13" s="2">
        <v>706</v>
      </c>
    </row>
    <row r="14" spans="2:17" x14ac:dyDescent="0.55000000000000004">
      <c r="B14" s="3" t="s">
        <v>2</v>
      </c>
      <c r="C14" s="4">
        <v>567</v>
      </c>
      <c r="H14" s="3" t="s">
        <v>2</v>
      </c>
      <c r="I14" s="4">
        <v>244</v>
      </c>
    </row>
    <row r="15" spans="2:17" x14ac:dyDescent="0.55000000000000004">
      <c r="B15" s="3" t="s">
        <v>2</v>
      </c>
      <c r="C15" s="4">
        <v>609</v>
      </c>
      <c r="H15" s="3" t="s">
        <v>2</v>
      </c>
      <c r="I15" s="4">
        <v>672</v>
      </c>
    </row>
    <row r="16" spans="2:17" x14ac:dyDescent="0.55000000000000004">
      <c r="B16" s="3" t="s">
        <v>2</v>
      </c>
      <c r="C16" s="4">
        <v>577</v>
      </c>
      <c r="H16" s="3" t="s">
        <v>2</v>
      </c>
      <c r="I16" s="4">
        <v>257</v>
      </c>
    </row>
    <row r="17" spans="2:9" x14ac:dyDescent="0.55000000000000004">
      <c r="B17" s="3" t="s">
        <v>2</v>
      </c>
      <c r="C17" s="4">
        <v>578</v>
      </c>
      <c r="H17" s="3" t="s">
        <v>2</v>
      </c>
      <c r="I17" s="4">
        <v>666</v>
      </c>
    </row>
    <row r="18" spans="2:9" ht="14.7" thickBot="1" x14ac:dyDescent="0.6">
      <c r="B18" s="7" t="s">
        <v>2</v>
      </c>
      <c r="C18" s="8">
        <v>562</v>
      </c>
      <c r="H18" s="7" t="s">
        <v>2</v>
      </c>
      <c r="I18" s="8">
        <v>229</v>
      </c>
    </row>
    <row r="19" spans="2:9" ht="14.7" thickBot="1" x14ac:dyDescent="0.6">
      <c r="B19" s="9" t="s">
        <v>4</v>
      </c>
      <c r="C19" s="10">
        <f>AVERAGE(C13:C18)</f>
        <v>586.16666666666663</v>
      </c>
      <c r="H19" s="9" t="s">
        <v>4</v>
      </c>
      <c r="I19" s="10">
        <f>AVERAGE(I13:I18)</f>
        <v>462.33333333333331</v>
      </c>
    </row>
    <row r="20" spans="2:9" x14ac:dyDescent="0.55000000000000004">
      <c r="B20" s="5" t="s">
        <v>7</v>
      </c>
      <c r="C20" s="6">
        <v>15198</v>
      </c>
      <c r="H20" s="5" t="s">
        <v>7</v>
      </c>
      <c r="I20" s="6">
        <v>952</v>
      </c>
    </row>
    <row r="21" spans="2:9" x14ac:dyDescent="0.55000000000000004">
      <c r="B21" s="3" t="s">
        <v>7</v>
      </c>
      <c r="C21" s="4">
        <v>15312</v>
      </c>
      <c r="H21" s="3" t="s">
        <v>7</v>
      </c>
      <c r="I21" s="4">
        <v>487</v>
      </c>
    </row>
    <row r="22" spans="2:9" x14ac:dyDescent="0.55000000000000004">
      <c r="B22" s="3" t="s">
        <v>7</v>
      </c>
      <c r="C22" s="4">
        <v>15303</v>
      </c>
      <c r="H22" s="3" t="s">
        <v>7</v>
      </c>
      <c r="I22" s="4">
        <v>951</v>
      </c>
    </row>
    <row r="23" spans="2:9" x14ac:dyDescent="0.55000000000000004">
      <c r="B23" s="3" t="s">
        <v>7</v>
      </c>
      <c r="C23" s="4">
        <v>15304</v>
      </c>
      <c r="H23" s="3" t="s">
        <v>7</v>
      </c>
      <c r="I23" s="4">
        <v>513</v>
      </c>
    </row>
    <row r="24" spans="2:9" x14ac:dyDescent="0.55000000000000004">
      <c r="B24" s="3" t="s">
        <v>7</v>
      </c>
      <c r="C24" s="4">
        <v>15781</v>
      </c>
      <c r="H24" s="3" t="s">
        <v>7</v>
      </c>
      <c r="I24" s="4">
        <v>958</v>
      </c>
    </row>
    <row r="25" spans="2:9" ht="14.7" thickBot="1" x14ac:dyDescent="0.6">
      <c r="B25" s="7" t="s">
        <v>7</v>
      </c>
      <c r="C25" s="8">
        <v>17307</v>
      </c>
      <c r="H25" s="7" t="s">
        <v>7</v>
      </c>
      <c r="I25" s="8">
        <v>521</v>
      </c>
    </row>
    <row r="26" spans="2:9" ht="14.7" thickBot="1" x14ac:dyDescent="0.6">
      <c r="B26" s="9" t="s">
        <v>8</v>
      </c>
      <c r="C26" s="10">
        <f>AVERAGE(C20:C25)</f>
        <v>15700.833333333334</v>
      </c>
      <c r="H26" s="9" t="s">
        <v>8</v>
      </c>
      <c r="I26" s="10">
        <f>AVERAGE(I20:I25)</f>
        <v>730.33333333333337</v>
      </c>
    </row>
    <row r="27" spans="2:9" x14ac:dyDescent="0.55000000000000004">
      <c r="B27" s="5" t="s">
        <v>13</v>
      </c>
      <c r="C27" s="6">
        <v>113360</v>
      </c>
      <c r="H27" s="5" t="s">
        <v>13</v>
      </c>
      <c r="I27" s="6">
        <v>2503</v>
      </c>
    </row>
    <row r="28" spans="2:9" x14ac:dyDescent="0.55000000000000004">
      <c r="B28" s="5" t="s">
        <v>13</v>
      </c>
      <c r="C28" s="4">
        <v>116109</v>
      </c>
      <c r="H28" s="5" t="s">
        <v>13</v>
      </c>
      <c r="I28" s="4">
        <v>2101</v>
      </c>
    </row>
    <row r="29" spans="2:9" x14ac:dyDescent="0.55000000000000004">
      <c r="B29" s="5" t="s">
        <v>13</v>
      </c>
      <c r="C29" s="4">
        <v>120619</v>
      </c>
      <c r="H29" s="5" t="s">
        <v>13</v>
      </c>
      <c r="I29" s="4">
        <v>2466</v>
      </c>
    </row>
    <row r="30" spans="2:9" x14ac:dyDescent="0.55000000000000004">
      <c r="B30" s="5" t="s">
        <v>13</v>
      </c>
      <c r="C30" s="4">
        <v>115887</v>
      </c>
      <c r="H30" s="5" t="s">
        <v>13</v>
      </c>
      <c r="I30" s="4">
        <v>2099</v>
      </c>
    </row>
    <row r="31" spans="2:9" x14ac:dyDescent="0.55000000000000004">
      <c r="B31" s="5" t="s">
        <v>13</v>
      </c>
      <c r="C31" s="4">
        <v>112795</v>
      </c>
      <c r="H31" s="5" t="s">
        <v>13</v>
      </c>
      <c r="I31" s="4">
        <v>2476</v>
      </c>
    </row>
    <row r="32" spans="2:9" ht="14.7" thickBot="1" x14ac:dyDescent="0.6">
      <c r="B32" s="5" t="s">
        <v>13</v>
      </c>
      <c r="C32" s="8">
        <v>111715</v>
      </c>
      <c r="H32" s="5" t="s">
        <v>13</v>
      </c>
      <c r="I32" s="8">
        <v>2092</v>
      </c>
    </row>
    <row r="33" spans="2:30" ht="14.7" thickBot="1" x14ac:dyDescent="0.6">
      <c r="B33" s="9" t="s">
        <v>14</v>
      </c>
      <c r="C33" s="10">
        <f>AVERAGE(C27:C32)</f>
        <v>115080.83333333333</v>
      </c>
      <c r="H33" s="9" t="s">
        <v>14</v>
      </c>
      <c r="I33" s="10">
        <f>AVERAGE(I27:I32)</f>
        <v>2289.5</v>
      </c>
    </row>
    <row r="34" spans="2:30" x14ac:dyDescent="0.55000000000000004">
      <c r="B34" s="5" t="s">
        <v>15</v>
      </c>
      <c r="C34" s="6">
        <v>879428</v>
      </c>
      <c r="H34" s="5" t="s">
        <v>15</v>
      </c>
      <c r="I34" s="6">
        <v>14703</v>
      </c>
    </row>
    <row r="35" spans="2:30" x14ac:dyDescent="0.55000000000000004">
      <c r="B35" s="5" t="s">
        <v>15</v>
      </c>
      <c r="C35" s="4">
        <v>928060</v>
      </c>
      <c r="H35" s="5" t="s">
        <v>15</v>
      </c>
      <c r="I35" s="4">
        <v>15104</v>
      </c>
    </row>
    <row r="36" spans="2:30" x14ac:dyDescent="0.55000000000000004">
      <c r="B36" s="5" t="s">
        <v>15</v>
      </c>
      <c r="C36" s="4">
        <v>875470</v>
      </c>
      <c r="H36" s="5" t="s">
        <v>15</v>
      </c>
      <c r="I36" s="4">
        <v>14796</v>
      </c>
    </row>
    <row r="37" spans="2:30" x14ac:dyDescent="0.55000000000000004">
      <c r="B37" s="5" t="s">
        <v>15</v>
      </c>
      <c r="C37" s="4">
        <v>900716</v>
      </c>
      <c r="H37" s="5" t="s">
        <v>15</v>
      </c>
      <c r="I37" s="4">
        <v>15538</v>
      </c>
    </row>
    <row r="38" spans="2:30" x14ac:dyDescent="0.55000000000000004">
      <c r="B38" s="5" t="s">
        <v>15</v>
      </c>
      <c r="C38" s="4">
        <v>880906</v>
      </c>
      <c r="H38" s="5" t="s">
        <v>15</v>
      </c>
      <c r="I38" s="4">
        <v>14898</v>
      </c>
    </row>
    <row r="39" spans="2:30" ht="14.7" thickBot="1" x14ac:dyDescent="0.6">
      <c r="B39" s="5" t="s">
        <v>15</v>
      </c>
      <c r="C39" s="8">
        <v>879464</v>
      </c>
      <c r="H39" s="5" t="s">
        <v>15</v>
      </c>
      <c r="I39" s="8">
        <v>14774</v>
      </c>
    </row>
    <row r="40" spans="2:30" ht="14.7" thickBot="1" x14ac:dyDescent="0.6">
      <c r="B40" s="9" t="s">
        <v>16</v>
      </c>
      <c r="C40" s="10">
        <f>AVERAGE(C34:C39)</f>
        <v>890674</v>
      </c>
      <c r="H40" s="9" t="s">
        <v>16</v>
      </c>
      <c r="I40" s="10">
        <f>AVERAGE(I34:I39)</f>
        <v>14968.833333333334</v>
      </c>
    </row>
    <row r="44" spans="2:30" x14ac:dyDescent="0.55000000000000004">
      <c r="L44" t="s">
        <v>30</v>
      </c>
      <c r="W44" t="s">
        <v>26</v>
      </c>
    </row>
    <row r="45" spans="2:30" ht="14.7" thickBot="1" x14ac:dyDescent="0.6">
      <c r="B45" t="s">
        <v>9</v>
      </c>
      <c r="E45" t="s">
        <v>10</v>
      </c>
      <c r="H45" t="s">
        <v>11</v>
      </c>
      <c r="L45" t="s">
        <v>19</v>
      </c>
      <c r="M45">
        <v>1</v>
      </c>
      <c r="N45">
        <v>2</v>
      </c>
      <c r="O45">
        <v>4</v>
      </c>
      <c r="P45">
        <v>6</v>
      </c>
      <c r="Q45">
        <v>8</v>
      </c>
      <c r="R45">
        <v>10</v>
      </c>
      <c r="S45">
        <v>12</v>
      </c>
      <c r="X45">
        <v>1</v>
      </c>
      <c r="Y45">
        <v>2</v>
      </c>
      <c r="Z45">
        <v>4</v>
      </c>
      <c r="AA45">
        <v>6</v>
      </c>
      <c r="AB45">
        <v>8</v>
      </c>
      <c r="AC45">
        <v>10</v>
      </c>
      <c r="AD45">
        <v>12</v>
      </c>
    </row>
    <row r="46" spans="2:30" x14ac:dyDescent="0.55000000000000004">
      <c r="B46" s="1" t="s">
        <v>1</v>
      </c>
      <c r="C46" s="2" t="s">
        <v>3</v>
      </c>
      <c r="E46" s="1" t="s">
        <v>1</v>
      </c>
      <c r="F46" s="2" t="s">
        <v>3</v>
      </c>
      <c r="H46" s="1" t="s">
        <v>1</v>
      </c>
      <c r="I46" s="2" t="s">
        <v>3</v>
      </c>
      <c r="L46" t="s">
        <v>26</v>
      </c>
      <c r="M46">
        <v>1</v>
      </c>
      <c r="N46" s="12">
        <f>C82</f>
        <v>1.8873697367133833</v>
      </c>
      <c r="O46" s="12">
        <f>F82</f>
        <v>3.0431336729876843</v>
      </c>
      <c r="P46" s="12">
        <f>I82</f>
        <v>4.2873082600603301</v>
      </c>
      <c r="Q46" s="12">
        <f>C122</f>
        <v>5.508630873230377</v>
      </c>
      <c r="R46" s="12">
        <f>F122</f>
        <v>6.6671457390627396</v>
      </c>
      <c r="S46" s="12">
        <f>I122</f>
        <v>7.4038662161207327</v>
      </c>
      <c r="W46" t="s">
        <v>30</v>
      </c>
      <c r="X46">
        <v>1</v>
      </c>
      <c r="Y46" s="12">
        <v>1.8873697367133833</v>
      </c>
      <c r="Z46" s="12">
        <v>3.0431336729876843</v>
      </c>
      <c r="AA46" s="12">
        <v>4.2873082600603301</v>
      </c>
      <c r="AB46" s="12">
        <v>5.508630873230377</v>
      </c>
      <c r="AC46" s="12">
        <v>6.6671457390627396</v>
      </c>
      <c r="AD46" s="12">
        <v>7.4038662161207327</v>
      </c>
    </row>
    <row r="47" spans="2:30" x14ac:dyDescent="0.55000000000000004">
      <c r="B47" s="3" t="s">
        <v>5</v>
      </c>
      <c r="C47" s="4">
        <v>168</v>
      </c>
      <c r="E47" s="3" t="s">
        <v>5</v>
      </c>
      <c r="F47" s="4">
        <v>179</v>
      </c>
      <c r="H47" s="3" t="s">
        <v>5</v>
      </c>
      <c r="I47" s="4">
        <v>179</v>
      </c>
      <c r="L47" t="s">
        <v>27</v>
      </c>
      <c r="M47">
        <v>1</v>
      </c>
      <c r="N47" s="12">
        <f>C163</f>
        <v>1.9142965322646222</v>
      </c>
      <c r="O47" s="12">
        <f>F163</f>
        <v>3.2519445178046147</v>
      </c>
      <c r="P47" s="12">
        <f>I163</f>
        <v>4.4770723672911679</v>
      </c>
      <c r="Q47" s="12">
        <f>C203</f>
        <v>5.8482381561567411</v>
      </c>
      <c r="R47" s="12">
        <f>F203</f>
        <v>7.1033243390533416</v>
      </c>
      <c r="S47" s="12">
        <f>I203</f>
        <v>7.5229762811407692</v>
      </c>
      <c r="W47" t="s">
        <v>29</v>
      </c>
      <c r="X47">
        <v>1</v>
      </c>
      <c r="Y47" s="12">
        <v>1.7510200769400479</v>
      </c>
      <c r="Z47" s="12">
        <v>3.1161460942400816</v>
      </c>
      <c r="AA47" s="12">
        <v>4.3826404316090128</v>
      </c>
      <c r="AB47" s="12">
        <v>5.7885316678542988</v>
      </c>
      <c r="AC47" s="12">
        <v>6.8787794259755533</v>
      </c>
      <c r="AD47" s="12">
        <v>7.42122262486214</v>
      </c>
    </row>
    <row r="48" spans="2:30" x14ac:dyDescent="0.55000000000000004">
      <c r="B48" s="3" t="s">
        <v>5</v>
      </c>
      <c r="C48" s="4">
        <v>161</v>
      </c>
      <c r="E48" s="3" t="s">
        <v>5</v>
      </c>
      <c r="F48" s="4">
        <v>166</v>
      </c>
      <c r="H48" s="3" t="s">
        <v>5</v>
      </c>
      <c r="I48" s="4">
        <v>166</v>
      </c>
      <c r="W48" t="s">
        <v>28</v>
      </c>
      <c r="X48">
        <v>1</v>
      </c>
      <c r="Y48" s="12">
        <v>1.8250770095123698</v>
      </c>
      <c r="Z48" s="12">
        <v>3.2397345071875647</v>
      </c>
      <c r="AA48" s="12">
        <v>4.5593359790920536</v>
      </c>
      <c r="AB48" s="12">
        <v>5.8443451827036421</v>
      </c>
      <c r="AC48" s="12">
        <v>6.7040278963848561</v>
      </c>
      <c r="AD48" s="12">
        <v>7.42122262486214</v>
      </c>
    </row>
    <row r="49" spans="2:9" x14ac:dyDescent="0.55000000000000004">
      <c r="B49" s="3" t="s">
        <v>5</v>
      </c>
      <c r="C49" s="4">
        <v>166</v>
      </c>
      <c r="E49" s="3" t="s">
        <v>5</v>
      </c>
      <c r="F49" s="4">
        <v>166</v>
      </c>
      <c r="H49" s="3" t="s">
        <v>5</v>
      </c>
      <c r="I49" s="4">
        <v>166</v>
      </c>
    </row>
    <row r="50" spans="2:9" x14ac:dyDescent="0.55000000000000004">
      <c r="B50" s="3" t="s">
        <v>5</v>
      </c>
      <c r="C50" s="4">
        <v>178</v>
      </c>
      <c r="E50" s="3" t="s">
        <v>5</v>
      </c>
      <c r="F50" s="4">
        <v>163</v>
      </c>
      <c r="H50" s="3" t="s">
        <v>5</v>
      </c>
      <c r="I50" s="4">
        <v>163</v>
      </c>
    </row>
    <row r="51" spans="2:9" x14ac:dyDescent="0.55000000000000004">
      <c r="B51" s="3" t="s">
        <v>5</v>
      </c>
      <c r="C51" s="4">
        <v>163</v>
      </c>
      <c r="E51" s="3" t="s">
        <v>5</v>
      </c>
      <c r="F51" s="4">
        <v>163</v>
      </c>
      <c r="H51" s="3" t="s">
        <v>5</v>
      </c>
      <c r="I51" s="4">
        <v>163</v>
      </c>
    </row>
    <row r="52" spans="2:9" ht="14.7" thickBot="1" x14ac:dyDescent="0.6">
      <c r="B52" s="7" t="s">
        <v>5</v>
      </c>
      <c r="C52" s="8">
        <v>161</v>
      </c>
      <c r="E52" s="7" t="s">
        <v>5</v>
      </c>
      <c r="F52" s="8">
        <v>163</v>
      </c>
      <c r="H52" s="7" t="s">
        <v>5</v>
      </c>
      <c r="I52" s="8">
        <v>163</v>
      </c>
    </row>
    <row r="53" spans="2:9" ht="14.7" thickBot="1" x14ac:dyDescent="0.6">
      <c r="B53" s="9" t="s">
        <v>6</v>
      </c>
      <c r="C53" s="10">
        <f>AVERAGE(C47:C52)</f>
        <v>166.16666666666666</v>
      </c>
      <c r="E53" s="9" t="s">
        <v>6</v>
      </c>
      <c r="F53" s="10">
        <f>AVERAGE(F47:F52)</f>
        <v>166.66666666666666</v>
      </c>
      <c r="H53" s="9" t="s">
        <v>6</v>
      </c>
      <c r="I53" s="10">
        <f>AVERAGE(I47:I52)</f>
        <v>166.66666666666666</v>
      </c>
    </row>
    <row r="54" spans="2:9" x14ac:dyDescent="0.55000000000000004">
      <c r="B54" s="1" t="s">
        <v>2</v>
      </c>
      <c r="C54" s="2">
        <v>345</v>
      </c>
      <c r="E54" s="1" t="s">
        <v>2</v>
      </c>
      <c r="F54" s="2">
        <v>341</v>
      </c>
      <c r="H54" s="1" t="s">
        <v>2</v>
      </c>
      <c r="I54" s="2">
        <v>341</v>
      </c>
    </row>
    <row r="55" spans="2:9" x14ac:dyDescent="0.55000000000000004">
      <c r="B55" s="3" t="s">
        <v>2</v>
      </c>
      <c r="C55" s="4">
        <v>324</v>
      </c>
      <c r="E55" s="3" t="s">
        <v>2</v>
      </c>
      <c r="F55" s="4">
        <v>333</v>
      </c>
      <c r="H55" s="3" t="s">
        <v>2</v>
      </c>
      <c r="I55" s="4">
        <v>333</v>
      </c>
    </row>
    <row r="56" spans="2:9" x14ac:dyDescent="0.55000000000000004">
      <c r="B56" s="3" t="s">
        <v>2</v>
      </c>
      <c r="C56" s="4">
        <v>329</v>
      </c>
      <c r="E56" s="3" t="s">
        <v>2</v>
      </c>
      <c r="F56" s="4">
        <v>337</v>
      </c>
      <c r="H56" s="3" t="s">
        <v>2</v>
      </c>
      <c r="I56" s="4">
        <v>337</v>
      </c>
    </row>
    <row r="57" spans="2:9" x14ac:dyDescent="0.55000000000000004">
      <c r="B57" s="3" t="s">
        <v>2</v>
      </c>
      <c r="C57" s="4">
        <v>332</v>
      </c>
      <c r="E57" s="3" t="s">
        <v>2</v>
      </c>
      <c r="F57" s="4">
        <v>322</v>
      </c>
      <c r="H57" s="3" t="s">
        <v>2</v>
      </c>
      <c r="I57" s="4">
        <v>322</v>
      </c>
    </row>
    <row r="58" spans="2:9" x14ac:dyDescent="0.55000000000000004">
      <c r="B58" s="3" t="s">
        <v>2</v>
      </c>
      <c r="C58" s="4">
        <v>326</v>
      </c>
      <c r="E58" s="3" t="s">
        <v>2</v>
      </c>
      <c r="F58" s="4">
        <v>332</v>
      </c>
      <c r="H58" s="3" t="s">
        <v>2</v>
      </c>
      <c r="I58" s="4">
        <v>332</v>
      </c>
    </row>
    <row r="59" spans="2:9" ht="14.7" thickBot="1" x14ac:dyDescent="0.6">
      <c r="B59" s="7" t="s">
        <v>2</v>
      </c>
      <c r="C59" s="8">
        <v>320</v>
      </c>
      <c r="E59" s="7" t="s">
        <v>2</v>
      </c>
      <c r="F59" s="8">
        <v>310</v>
      </c>
      <c r="H59" s="7" t="s">
        <v>2</v>
      </c>
      <c r="I59" s="8">
        <v>310</v>
      </c>
    </row>
    <row r="60" spans="2:9" ht="14.7" thickBot="1" x14ac:dyDescent="0.6">
      <c r="B60" s="9" t="s">
        <v>4</v>
      </c>
      <c r="C60" s="10">
        <f>AVERAGE(C54:C59)</f>
        <v>329.33333333333331</v>
      </c>
      <c r="E60" s="9" t="s">
        <v>4</v>
      </c>
      <c r="F60" s="10">
        <f>AVERAGE(F54:F59)</f>
        <v>329.16666666666669</v>
      </c>
      <c r="H60" s="9" t="s">
        <v>4</v>
      </c>
      <c r="I60" s="10">
        <f>AVERAGE(I54:I59)</f>
        <v>329.16666666666669</v>
      </c>
    </row>
    <row r="61" spans="2:9" x14ac:dyDescent="0.55000000000000004">
      <c r="B61" s="5" t="s">
        <v>7</v>
      </c>
      <c r="C61" s="6">
        <v>8554</v>
      </c>
      <c r="E61" s="5" t="s">
        <v>7</v>
      </c>
      <c r="F61" s="6">
        <v>4710</v>
      </c>
      <c r="H61" s="5" t="s">
        <v>7</v>
      </c>
      <c r="I61" s="6">
        <v>3419</v>
      </c>
    </row>
    <row r="62" spans="2:9" x14ac:dyDescent="0.55000000000000004">
      <c r="B62" s="3" t="s">
        <v>7</v>
      </c>
      <c r="C62" s="4">
        <v>8659</v>
      </c>
      <c r="E62" s="3" t="s">
        <v>7</v>
      </c>
      <c r="F62" s="4">
        <v>4930</v>
      </c>
      <c r="H62" s="3" t="s">
        <v>7</v>
      </c>
      <c r="I62" s="4">
        <v>3436</v>
      </c>
    </row>
    <row r="63" spans="2:9" x14ac:dyDescent="0.55000000000000004">
      <c r="B63" s="3" t="s">
        <v>7</v>
      </c>
      <c r="C63" s="4">
        <v>8577</v>
      </c>
      <c r="E63" s="3" t="s">
        <v>7</v>
      </c>
      <c r="F63" s="4">
        <v>4859</v>
      </c>
      <c r="H63" s="3" t="s">
        <v>7</v>
      </c>
      <c r="I63" s="4">
        <v>3487</v>
      </c>
    </row>
    <row r="64" spans="2:9" x14ac:dyDescent="0.55000000000000004">
      <c r="B64" s="3" t="s">
        <v>7</v>
      </c>
      <c r="C64" s="4">
        <v>8527</v>
      </c>
      <c r="E64" s="3" t="s">
        <v>7</v>
      </c>
      <c r="F64" s="4">
        <v>4820</v>
      </c>
      <c r="H64" s="3" t="s">
        <v>7</v>
      </c>
      <c r="I64" s="4">
        <v>3432</v>
      </c>
    </row>
    <row r="65" spans="2:30" x14ac:dyDescent="0.55000000000000004">
      <c r="B65" s="3" t="s">
        <v>7</v>
      </c>
      <c r="C65" s="4">
        <v>8693</v>
      </c>
      <c r="E65" s="3" t="s">
        <v>7</v>
      </c>
      <c r="F65" s="4">
        <v>4923</v>
      </c>
      <c r="H65" s="3" t="s">
        <v>7</v>
      </c>
      <c r="I65" s="4">
        <v>3436</v>
      </c>
    </row>
    <row r="66" spans="2:30" ht="14.7" thickBot="1" x14ac:dyDescent="0.6">
      <c r="B66" s="7" t="s">
        <v>7</v>
      </c>
      <c r="C66" s="8">
        <v>8607</v>
      </c>
      <c r="E66" s="7" t="s">
        <v>7</v>
      </c>
      <c r="F66" s="8">
        <v>4836</v>
      </c>
      <c r="H66" s="7" t="s">
        <v>7</v>
      </c>
      <c r="I66" s="8">
        <v>3452</v>
      </c>
      <c r="W66" t="s">
        <v>27</v>
      </c>
    </row>
    <row r="67" spans="2:30" ht="14.7" thickBot="1" x14ac:dyDescent="0.6">
      <c r="B67" s="9" t="s">
        <v>8</v>
      </c>
      <c r="C67" s="10">
        <f>AVERAGE(C61:C66)</f>
        <v>8602.8333333333339</v>
      </c>
      <c r="D67">
        <f>$C$26/C67</f>
        <v>1.8250770095123698</v>
      </c>
      <c r="E67" s="9" t="s">
        <v>8</v>
      </c>
      <c r="F67" s="10">
        <f>AVERAGE(F61:F66)</f>
        <v>4846.333333333333</v>
      </c>
      <c r="G67">
        <f>$C$26/F67</f>
        <v>3.2397345071875647</v>
      </c>
      <c r="H67" s="9" t="s">
        <v>8</v>
      </c>
      <c r="I67" s="10">
        <f>AVERAGE(I61:I66)</f>
        <v>3443.6666666666665</v>
      </c>
      <c r="J67">
        <f>$C$26/I67</f>
        <v>4.5593359790920536</v>
      </c>
      <c r="L67" t="s">
        <v>29</v>
      </c>
      <c r="X67">
        <v>1</v>
      </c>
      <c r="Y67">
        <v>2</v>
      </c>
      <c r="Z67">
        <v>4</v>
      </c>
      <c r="AA67">
        <v>6</v>
      </c>
      <c r="AB67">
        <v>8</v>
      </c>
      <c r="AC67">
        <v>10</v>
      </c>
      <c r="AD67">
        <v>12</v>
      </c>
    </row>
    <row r="68" spans="2:30" x14ac:dyDescent="0.55000000000000004">
      <c r="B68" s="5" t="s">
        <v>13</v>
      </c>
      <c r="C68" s="6">
        <v>65587</v>
      </c>
      <c r="E68" s="5" t="s">
        <v>13</v>
      </c>
      <c r="F68" s="6">
        <v>36051</v>
      </c>
      <c r="H68" s="5" t="s">
        <v>13</v>
      </c>
      <c r="I68" s="6">
        <v>26924</v>
      </c>
      <c r="L68" t="s">
        <v>19</v>
      </c>
      <c r="M68">
        <v>1</v>
      </c>
      <c r="N68">
        <v>2</v>
      </c>
      <c r="O68">
        <v>4</v>
      </c>
      <c r="P68">
        <v>6</v>
      </c>
      <c r="Q68">
        <v>8</v>
      </c>
      <c r="R68">
        <v>10</v>
      </c>
      <c r="S68">
        <v>12</v>
      </c>
      <c r="W68" t="s">
        <v>30</v>
      </c>
      <c r="X68">
        <v>1</v>
      </c>
      <c r="Y68" s="12">
        <v>1.9142965322646222</v>
      </c>
      <c r="Z68" s="12">
        <v>3.2519445178046147</v>
      </c>
      <c r="AA68" s="12">
        <v>4.4770723672911679</v>
      </c>
      <c r="AB68" s="12">
        <v>5.8482381561567411</v>
      </c>
      <c r="AC68" s="12">
        <v>7.1033243390533416</v>
      </c>
      <c r="AD68" s="12">
        <v>7.5229762811407692</v>
      </c>
    </row>
    <row r="69" spans="2:30" x14ac:dyDescent="0.55000000000000004">
      <c r="B69" s="5" t="s">
        <v>13</v>
      </c>
      <c r="C69" s="4">
        <v>63476</v>
      </c>
      <c r="E69" s="5" t="s">
        <v>13</v>
      </c>
      <c r="F69" s="4">
        <v>36586</v>
      </c>
      <c r="H69" s="5" t="s">
        <v>13</v>
      </c>
      <c r="I69" s="4">
        <v>26318</v>
      </c>
      <c r="L69" t="s">
        <v>26</v>
      </c>
      <c r="M69">
        <v>1</v>
      </c>
      <c r="N69" s="12">
        <f>D74</f>
        <v>1.7510200769400479</v>
      </c>
      <c r="O69" s="12">
        <f>G74</f>
        <v>3.1161460942400816</v>
      </c>
      <c r="P69" s="12">
        <f>J74</f>
        <v>4.3826404316090128</v>
      </c>
      <c r="Q69" s="12">
        <f>D114</f>
        <v>5.7885316678542988</v>
      </c>
      <c r="R69" s="12">
        <f>G114</f>
        <v>6.8787794259755533</v>
      </c>
      <c r="S69" s="12">
        <f>J107</f>
        <v>7.42122262486214</v>
      </c>
      <c r="W69" t="s">
        <v>29</v>
      </c>
      <c r="X69">
        <v>1</v>
      </c>
      <c r="Y69" s="12">
        <v>1.9512115860120098</v>
      </c>
      <c r="Z69" s="12">
        <v>2.9507779881282561</v>
      </c>
      <c r="AA69" s="12">
        <v>4.5363374766772653</v>
      </c>
      <c r="AB69" s="12">
        <v>5.9705745019369116</v>
      </c>
      <c r="AC69" s="12">
        <v>7.1956252149355455</v>
      </c>
      <c r="AD69" s="12">
        <v>7.7731059326804006</v>
      </c>
    </row>
    <row r="70" spans="2:30" x14ac:dyDescent="0.55000000000000004">
      <c r="B70" s="5" t="s">
        <v>13</v>
      </c>
      <c r="C70" s="4">
        <v>63191</v>
      </c>
      <c r="E70" s="5" t="s">
        <v>13</v>
      </c>
      <c r="F70" s="4">
        <v>36922</v>
      </c>
      <c r="H70" s="5" t="s">
        <v>13</v>
      </c>
      <c r="I70" s="4">
        <v>25988</v>
      </c>
      <c r="L70" t="s">
        <v>27</v>
      </c>
      <c r="M70">
        <v>1</v>
      </c>
      <c r="N70" s="12">
        <f>D155</f>
        <v>1.9512115860120098</v>
      </c>
      <c r="O70" s="12">
        <f>G155</f>
        <v>2.9507779881282561</v>
      </c>
      <c r="P70" s="12">
        <f>J155</f>
        <v>4.5363374766772653</v>
      </c>
      <c r="Q70" s="12">
        <f>D195</f>
        <v>5.9705745019369116</v>
      </c>
      <c r="R70" s="12">
        <f>G195</f>
        <v>7.1956252149355455</v>
      </c>
      <c r="S70" s="12">
        <f>J195</f>
        <v>7.7731059326804006</v>
      </c>
      <c r="W70" t="s">
        <v>28</v>
      </c>
      <c r="X70">
        <v>1</v>
      </c>
      <c r="Y70" s="12">
        <v>2.0744973684790029</v>
      </c>
      <c r="Z70" s="12">
        <v>3.4451799297834995</v>
      </c>
      <c r="AA70" s="12">
        <v>4.9849190390517517</v>
      </c>
      <c r="AB70" s="12">
        <v>6.3621935571013708</v>
      </c>
      <c r="AC70" s="12">
        <v>7.614371160685419</v>
      </c>
      <c r="AD70" s="12">
        <v>7.9297138047138054</v>
      </c>
    </row>
    <row r="71" spans="2:30" x14ac:dyDescent="0.55000000000000004">
      <c r="B71" s="5" t="s">
        <v>13</v>
      </c>
      <c r="C71" s="4">
        <v>63622</v>
      </c>
      <c r="E71" s="5" t="s">
        <v>13</v>
      </c>
      <c r="F71" s="4">
        <v>37286</v>
      </c>
      <c r="H71" s="5" t="s">
        <v>13</v>
      </c>
      <c r="I71" s="4">
        <v>26289</v>
      </c>
    </row>
    <row r="72" spans="2:30" x14ac:dyDescent="0.55000000000000004">
      <c r="B72" s="5" t="s">
        <v>13</v>
      </c>
      <c r="C72" s="4">
        <v>69001</v>
      </c>
      <c r="E72" s="5" t="s">
        <v>13</v>
      </c>
      <c r="F72" s="4">
        <v>37098</v>
      </c>
      <c r="H72" s="5" t="s">
        <v>13</v>
      </c>
      <c r="I72" s="4">
        <v>25846</v>
      </c>
    </row>
    <row r="73" spans="2:30" ht="14.7" thickBot="1" x14ac:dyDescent="0.6">
      <c r="B73" s="5" t="s">
        <v>13</v>
      </c>
      <c r="C73" s="8">
        <v>69456</v>
      </c>
      <c r="E73" s="5" t="s">
        <v>13</v>
      </c>
      <c r="F73" s="8">
        <v>37640</v>
      </c>
      <c r="H73" s="5" t="s">
        <v>13</v>
      </c>
      <c r="I73" s="8">
        <v>26185</v>
      </c>
    </row>
    <row r="74" spans="2:30" ht="14.7" thickBot="1" x14ac:dyDescent="0.6">
      <c r="B74" s="9" t="s">
        <v>14</v>
      </c>
      <c r="C74" s="10">
        <f>AVERAGE(C68:C73)</f>
        <v>65722.166666666672</v>
      </c>
      <c r="D74" s="12">
        <f>$C$33/C74</f>
        <v>1.7510200769400479</v>
      </c>
      <c r="E74" s="9" t="s">
        <v>14</v>
      </c>
      <c r="F74" s="10">
        <f>AVERAGE(F68:F73)</f>
        <v>36930.5</v>
      </c>
      <c r="G74" s="12">
        <f>$C$33/F74</f>
        <v>3.1161460942400816</v>
      </c>
      <c r="H74" s="9" t="s">
        <v>14</v>
      </c>
      <c r="I74" s="10">
        <f>AVERAGE(I68:I73)</f>
        <v>26258.333333333332</v>
      </c>
      <c r="J74" s="12">
        <f>$C$33/I74</f>
        <v>4.3826404316090128</v>
      </c>
    </row>
    <row r="75" spans="2:30" x14ac:dyDescent="0.55000000000000004">
      <c r="B75" s="5" t="s">
        <v>15</v>
      </c>
      <c r="C75" s="6">
        <v>487342</v>
      </c>
      <c r="E75" s="5" t="s">
        <v>15</v>
      </c>
      <c r="F75" s="6">
        <v>289242</v>
      </c>
      <c r="H75" s="5" t="s">
        <v>15</v>
      </c>
      <c r="I75" s="6">
        <v>217996</v>
      </c>
    </row>
    <row r="76" spans="2:30" x14ac:dyDescent="0.55000000000000004">
      <c r="B76" s="5" t="s">
        <v>15</v>
      </c>
      <c r="C76" s="4">
        <v>474066</v>
      </c>
      <c r="E76" s="5" t="s">
        <v>15</v>
      </c>
      <c r="F76" s="4">
        <v>292266</v>
      </c>
      <c r="H76" s="5" t="s">
        <v>15</v>
      </c>
      <c r="I76" s="4">
        <v>200284</v>
      </c>
    </row>
    <row r="77" spans="2:30" x14ac:dyDescent="0.55000000000000004">
      <c r="B77" s="5" t="s">
        <v>15</v>
      </c>
      <c r="C77" s="4">
        <v>467698</v>
      </c>
      <c r="E77" s="5" t="s">
        <v>15</v>
      </c>
      <c r="F77" s="4">
        <v>294536</v>
      </c>
      <c r="H77" s="5" t="s">
        <v>15</v>
      </c>
      <c r="I77" s="4">
        <v>205677</v>
      </c>
    </row>
    <row r="78" spans="2:30" x14ac:dyDescent="0.55000000000000004">
      <c r="B78" s="5" t="s">
        <v>15</v>
      </c>
      <c r="C78" s="4">
        <v>465198</v>
      </c>
      <c r="E78" s="5" t="s">
        <v>15</v>
      </c>
      <c r="F78" s="4">
        <v>290753</v>
      </c>
      <c r="H78" s="5" t="s">
        <v>15</v>
      </c>
      <c r="I78" s="4">
        <v>206813</v>
      </c>
    </row>
    <row r="79" spans="2:30" x14ac:dyDescent="0.55000000000000004">
      <c r="B79" s="5" t="s">
        <v>15</v>
      </c>
      <c r="C79" s="4">
        <v>466682</v>
      </c>
      <c r="E79" s="5" t="s">
        <v>15</v>
      </c>
      <c r="F79" s="4">
        <v>292516</v>
      </c>
      <c r="H79" s="5" t="s">
        <v>15</v>
      </c>
      <c r="I79" s="4">
        <v>207780</v>
      </c>
    </row>
    <row r="80" spans="2:30" ht="14.7" thickBot="1" x14ac:dyDescent="0.6">
      <c r="B80" s="5" t="s">
        <v>15</v>
      </c>
      <c r="C80" s="8">
        <v>470491</v>
      </c>
      <c r="E80" s="5" t="s">
        <v>15</v>
      </c>
      <c r="F80" s="8">
        <v>296786</v>
      </c>
      <c r="H80" s="5" t="s">
        <v>15</v>
      </c>
      <c r="I80" s="8">
        <v>207930</v>
      </c>
    </row>
    <row r="81" spans="2:19" ht="14.7" thickBot="1" x14ac:dyDescent="0.6">
      <c r="B81" s="9" t="s">
        <v>16</v>
      </c>
      <c r="C81" s="10">
        <f>AVERAGE(C75:C80)</f>
        <v>471912.83333333331</v>
      </c>
      <c r="E81" s="9" t="s">
        <v>16</v>
      </c>
      <c r="F81" s="10">
        <f>AVERAGE(F75:F80)</f>
        <v>292683.16666666669</v>
      </c>
      <c r="H81" s="9" t="s">
        <v>16</v>
      </c>
      <c r="I81" s="10">
        <f>AVERAGE(I75:I80)</f>
        <v>207746.66666666666</v>
      </c>
    </row>
    <row r="82" spans="2:19" x14ac:dyDescent="0.55000000000000004">
      <c r="C82" s="12">
        <f>$C$40/C81</f>
        <v>1.8873697367133833</v>
      </c>
      <c r="F82" s="12">
        <f>$C$40/F81</f>
        <v>3.0431336729876843</v>
      </c>
      <c r="I82" s="12">
        <f>$C$40/I81</f>
        <v>4.2873082600603301</v>
      </c>
    </row>
    <row r="85" spans="2:19" ht="14.7" thickBot="1" x14ac:dyDescent="0.6">
      <c r="B85" t="s">
        <v>18</v>
      </c>
      <c r="E85" t="s">
        <v>17</v>
      </c>
      <c r="H85" t="s">
        <v>12</v>
      </c>
    </row>
    <row r="86" spans="2:19" x14ac:dyDescent="0.55000000000000004">
      <c r="B86" s="1" t="s">
        <v>1</v>
      </c>
      <c r="C86" s="2" t="s">
        <v>3</v>
      </c>
      <c r="E86" s="1" t="s">
        <v>1</v>
      </c>
      <c r="F86" s="2" t="s">
        <v>3</v>
      </c>
      <c r="H86" s="1" t="s">
        <v>1</v>
      </c>
      <c r="I86" s="2" t="s">
        <v>3</v>
      </c>
    </row>
    <row r="87" spans="2:19" x14ac:dyDescent="0.55000000000000004">
      <c r="B87" s="3" t="s">
        <v>5</v>
      </c>
      <c r="C87" s="4">
        <v>179</v>
      </c>
      <c r="E87" s="3" t="s">
        <v>5</v>
      </c>
      <c r="F87" s="4">
        <v>179</v>
      </c>
      <c r="H87" s="3" t="s">
        <v>5</v>
      </c>
      <c r="I87" s="4">
        <v>199</v>
      </c>
    </row>
    <row r="88" spans="2:19" x14ac:dyDescent="0.55000000000000004">
      <c r="B88" s="3" t="s">
        <v>5</v>
      </c>
      <c r="C88" s="4">
        <v>166</v>
      </c>
      <c r="E88" s="3" t="s">
        <v>5</v>
      </c>
      <c r="F88" s="4">
        <v>166</v>
      </c>
      <c r="H88" s="3" t="s">
        <v>5</v>
      </c>
      <c r="I88" s="4">
        <v>206</v>
      </c>
      <c r="L88" t="s">
        <v>28</v>
      </c>
    </row>
    <row r="89" spans="2:19" x14ac:dyDescent="0.55000000000000004">
      <c r="B89" s="3" t="s">
        <v>5</v>
      </c>
      <c r="C89" s="4">
        <v>166</v>
      </c>
      <c r="E89" s="3" t="s">
        <v>5</v>
      </c>
      <c r="F89" s="4">
        <v>166</v>
      </c>
      <c r="H89" s="3" t="s">
        <v>5</v>
      </c>
      <c r="I89" s="4">
        <v>196</v>
      </c>
      <c r="L89" t="s">
        <v>19</v>
      </c>
      <c r="M89">
        <v>1</v>
      </c>
      <c r="N89">
        <v>2</v>
      </c>
      <c r="O89">
        <v>4</v>
      </c>
      <c r="P89">
        <v>6</v>
      </c>
      <c r="Q89">
        <v>8</v>
      </c>
      <c r="R89">
        <v>10</v>
      </c>
      <c r="S89">
        <v>12</v>
      </c>
    </row>
    <row r="90" spans="2:19" x14ac:dyDescent="0.55000000000000004">
      <c r="B90" s="3" t="s">
        <v>5</v>
      </c>
      <c r="C90" s="4">
        <v>163</v>
      </c>
      <c r="E90" s="3" t="s">
        <v>5</v>
      </c>
      <c r="F90" s="4">
        <v>163</v>
      </c>
      <c r="H90" s="3" t="s">
        <v>5</v>
      </c>
      <c r="I90" s="4">
        <v>219</v>
      </c>
      <c r="L90" t="s">
        <v>26</v>
      </c>
      <c r="M90">
        <v>1</v>
      </c>
      <c r="N90" s="12">
        <f>D67</f>
        <v>1.8250770095123698</v>
      </c>
      <c r="O90" s="12">
        <f>G67</f>
        <v>3.2397345071875647</v>
      </c>
      <c r="P90" s="12">
        <f>J67</f>
        <v>4.5593359790920536</v>
      </c>
      <c r="Q90" s="12">
        <f>D107</f>
        <v>5.8443451827036421</v>
      </c>
      <c r="R90" s="12">
        <f>G107</f>
        <v>6.7040278963848561</v>
      </c>
      <c r="S90" s="12">
        <f>J107</f>
        <v>7.42122262486214</v>
      </c>
    </row>
    <row r="91" spans="2:19" x14ac:dyDescent="0.55000000000000004">
      <c r="B91" s="3" t="s">
        <v>5</v>
      </c>
      <c r="C91" s="4">
        <v>163</v>
      </c>
      <c r="E91" s="3" t="s">
        <v>5</v>
      </c>
      <c r="F91" s="4">
        <v>163</v>
      </c>
      <c r="H91" s="3" t="s">
        <v>5</v>
      </c>
      <c r="I91" s="4">
        <v>200</v>
      </c>
      <c r="L91" t="s">
        <v>27</v>
      </c>
      <c r="M91">
        <v>1</v>
      </c>
      <c r="N91" s="12">
        <f>D148</f>
        <v>2.0744973684790029</v>
      </c>
      <c r="O91" s="12">
        <f>G148</f>
        <v>3.4451799297834995</v>
      </c>
      <c r="P91" s="12">
        <f>J148</f>
        <v>4.9849190390517517</v>
      </c>
      <c r="Q91" s="12">
        <f>D188</f>
        <v>6.3621935571013708</v>
      </c>
      <c r="R91" s="12">
        <f>G188</f>
        <v>7.614371160685419</v>
      </c>
      <c r="S91" s="12">
        <f>J188</f>
        <v>7.9297138047138054</v>
      </c>
    </row>
    <row r="92" spans="2:19" ht="14.7" thickBot="1" x14ac:dyDescent="0.6">
      <c r="B92" s="7" t="s">
        <v>5</v>
      </c>
      <c r="C92" s="8">
        <v>163</v>
      </c>
      <c r="E92" s="7" t="s">
        <v>5</v>
      </c>
      <c r="F92" s="8">
        <v>163</v>
      </c>
      <c r="H92" s="7" t="s">
        <v>5</v>
      </c>
      <c r="I92" s="8">
        <v>234</v>
      </c>
    </row>
    <row r="93" spans="2:19" ht="14.7" thickBot="1" x14ac:dyDescent="0.6">
      <c r="B93" s="9" t="s">
        <v>6</v>
      </c>
      <c r="C93" s="10">
        <f>AVERAGE(C87:C92)</f>
        <v>166.66666666666666</v>
      </c>
      <c r="E93" s="9" t="s">
        <v>6</v>
      </c>
      <c r="F93" s="10">
        <f>AVERAGE(F87:F92)</f>
        <v>166.66666666666666</v>
      </c>
      <c r="H93" s="9" t="s">
        <v>6</v>
      </c>
      <c r="I93" s="10">
        <f>AVERAGE(I87:I92)</f>
        <v>209</v>
      </c>
    </row>
    <row r="94" spans="2:19" x14ac:dyDescent="0.55000000000000004">
      <c r="B94" s="1" t="s">
        <v>2</v>
      </c>
      <c r="C94" s="2">
        <v>341</v>
      </c>
      <c r="E94" s="1" t="s">
        <v>2</v>
      </c>
      <c r="F94" s="2">
        <v>341</v>
      </c>
      <c r="H94" s="1" t="s">
        <v>2</v>
      </c>
      <c r="I94" s="2">
        <v>395</v>
      </c>
    </row>
    <row r="95" spans="2:19" x14ac:dyDescent="0.55000000000000004">
      <c r="B95" s="3" t="s">
        <v>2</v>
      </c>
      <c r="C95" s="4">
        <v>333</v>
      </c>
      <c r="E95" s="3" t="s">
        <v>2</v>
      </c>
      <c r="F95" s="4">
        <v>333</v>
      </c>
      <c r="H95" s="3" t="s">
        <v>2</v>
      </c>
      <c r="I95" s="4">
        <v>418</v>
      </c>
    </row>
    <row r="96" spans="2:19" x14ac:dyDescent="0.55000000000000004">
      <c r="B96" s="3" t="s">
        <v>2</v>
      </c>
      <c r="C96" s="4">
        <v>337</v>
      </c>
      <c r="E96" s="3" t="s">
        <v>2</v>
      </c>
      <c r="F96" s="4">
        <v>337</v>
      </c>
      <c r="H96" s="3" t="s">
        <v>2</v>
      </c>
      <c r="I96" s="4">
        <v>387</v>
      </c>
    </row>
    <row r="97" spans="2:10" x14ac:dyDescent="0.55000000000000004">
      <c r="B97" s="3" t="s">
        <v>2</v>
      </c>
      <c r="C97" s="4">
        <v>322</v>
      </c>
      <c r="E97" s="3" t="s">
        <v>2</v>
      </c>
      <c r="F97" s="4">
        <v>322</v>
      </c>
      <c r="H97" s="3" t="s">
        <v>2</v>
      </c>
      <c r="I97" s="4">
        <v>382</v>
      </c>
    </row>
    <row r="98" spans="2:10" x14ac:dyDescent="0.55000000000000004">
      <c r="B98" s="3" t="s">
        <v>2</v>
      </c>
      <c r="C98" s="4">
        <v>332</v>
      </c>
      <c r="E98" s="3" t="s">
        <v>2</v>
      </c>
      <c r="F98" s="4">
        <v>332</v>
      </c>
      <c r="H98" s="3" t="s">
        <v>2</v>
      </c>
      <c r="I98" s="4">
        <v>403</v>
      </c>
    </row>
    <row r="99" spans="2:10" ht="14.7" thickBot="1" x14ac:dyDescent="0.6">
      <c r="B99" s="7" t="s">
        <v>2</v>
      </c>
      <c r="C99" s="8">
        <v>310</v>
      </c>
      <c r="E99" s="7" t="s">
        <v>2</v>
      </c>
      <c r="F99" s="8">
        <v>310</v>
      </c>
      <c r="H99" s="7" t="s">
        <v>2</v>
      </c>
      <c r="I99" s="8">
        <v>430</v>
      </c>
    </row>
    <row r="100" spans="2:10" ht="14.7" thickBot="1" x14ac:dyDescent="0.6">
      <c r="B100" s="9" t="s">
        <v>4</v>
      </c>
      <c r="C100" s="10">
        <f>AVERAGE(C94:C99)</f>
        <v>329.16666666666669</v>
      </c>
      <c r="E100" s="9" t="s">
        <v>4</v>
      </c>
      <c r="F100" s="10">
        <f>AVERAGE(F94:F99)</f>
        <v>329.16666666666669</v>
      </c>
      <c r="H100" s="9" t="s">
        <v>4</v>
      </c>
      <c r="I100" s="10">
        <f>AVERAGE(I94:I99)</f>
        <v>402.5</v>
      </c>
    </row>
    <row r="101" spans="2:10" x14ac:dyDescent="0.55000000000000004">
      <c r="B101" s="5" t="s">
        <v>7</v>
      </c>
      <c r="C101" s="6">
        <v>2692</v>
      </c>
      <c r="E101" s="5" t="s">
        <v>7</v>
      </c>
      <c r="F101" s="6">
        <v>2335</v>
      </c>
      <c r="H101" s="5" t="s">
        <v>7</v>
      </c>
      <c r="I101" s="6">
        <v>2188</v>
      </c>
    </row>
    <row r="102" spans="2:10" x14ac:dyDescent="0.55000000000000004">
      <c r="B102" s="3" t="s">
        <v>7</v>
      </c>
      <c r="C102" s="4">
        <v>2662</v>
      </c>
      <c r="E102" s="3" t="s">
        <v>7</v>
      </c>
      <c r="F102" s="4">
        <v>2322</v>
      </c>
      <c r="H102" s="3" t="s">
        <v>7</v>
      </c>
      <c r="I102" s="4">
        <v>2068</v>
      </c>
    </row>
    <row r="103" spans="2:10" x14ac:dyDescent="0.55000000000000004">
      <c r="B103" s="3" t="s">
        <v>7</v>
      </c>
      <c r="C103" s="4">
        <v>2647</v>
      </c>
      <c r="E103" s="3" t="s">
        <v>7</v>
      </c>
      <c r="F103" s="4">
        <v>2348</v>
      </c>
      <c r="H103" s="3" t="s">
        <v>7</v>
      </c>
      <c r="I103" s="4">
        <v>2137</v>
      </c>
    </row>
    <row r="104" spans="2:10" x14ac:dyDescent="0.55000000000000004">
      <c r="B104" s="3" t="s">
        <v>7</v>
      </c>
      <c r="C104" s="4">
        <v>2617</v>
      </c>
      <c r="E104" s="3" t="s">
        <v>7</v>
      </c>
      <c r="F104" s="4">
        <v>2379</v>
      </c>
      <c r="H104" s="3" t="s">
        <v>7</v>
      </c>
      <c r="I104" s="4">
        <v>2061</v>
      </c>
    </row>
    <row r="105" spans="2:10" x14ac:dyDescent="0.55000000000000004">
      <c r="B105" s="3" t="s">
        <v>7</v>
      </c>
      <c r="C105" s="4">
        <v>2820</v>
      </c>
      <c r="E105" s="3" t="s">
        <v>7</v>
      </c>
      <c r="F105" s="4">
        <v>2352</v>
      </c>
      <c r="H105" s="3" t="s">
        <v>7</v>
      </c>
      <c r="I105" s="4">
        <v>2173</v>
      </c>
    </row>
    <row r="106" spans="2:10" ht="14.7" thickBot="1" x14ac:dyDescent="0.6">
      <c r="B106" s="7" t="s">
        <v>7</v>
      </c>
      <c r="C106" s="8">
        <v>2681</v>
      </c>
      <c r="E106" s="7" t="s">
        <v>7</v>
      </c>
      <c r="F106" s="8">
        <v>2316</v>
      </c>
      <c r="H106" s="7" t="s">
        <v>7</v>
      </c>
      <c r="I106" s="8">
        <v>2067</v>
      </c>
    </row>
    <row r="107" spans="2:10" ht="14.7" thickBot="1" x14ac:dyDescent="0.6">
      <c r="B107" s="9" t="s">
        <v>8</v>
      </c>
      <c r="C107" s="10">
        <f>AVERAGE(C101:C106)</f>
        <v>2686.5</v>
      </c>
      <c r="D107">
        <f>$C$26/C107</f>
        <v>5.8443451827036421</v>
      </c>
      <c r="E107" s="9" t="s">
        <v>8</v>
      </c>
      <c r="F107" s="10">
        <f>AVERAGE(F101:F106)</f>
        <v>2342</v>
      </c>
      <c r="G107">
        <f>$C$26/F107</f>
        <v>6.7040278963848561</v>
      </c>
      <c r="H107" s="9" t="s">
        <v>8</v>
      </c>
      <c r="I107" s="10">
        <f>AVERAGE(I101:I106)</f>
        <v>2115.6666666666665</v>
      </c>
      <c r="J107">
        <f>$C$26/I107</f>
        <v>7.42122262486214</v>
      </c>
    </row>
    <row r="108" spans="2:10" x14ac:dyDescent="0.55000000000000004">
      <c r="B108" s="5" t="s">
        <v>13</v>
      </c>
      <c r="C108" s="6">
        <v>19990</v>
      </c>
      <c r="E108" s="5" t="s">
        <v>13</v>
      </c>
      <c r="F108" s="6">
        <v>16845</v>
      </c>
      <c r="H108" s="5" t="s">
        <v>13</v>
      </c>
      <c r="I108" s="6">
        <v>15715</v>
      </c>
    </row>
    <row r="109" spans="2:10" x14ac:dyDescent="0.55000000000000004">
      <c r="B109" s="5" t="s">
        <v>13</v>
      </c>
      <c r="C109" s="4">
        <v>19862</v>
      </c>
      <c r="E109" s="5" t="s">
        <v>13</v>
      </c>
      <c r="F109" s="4">
        <v>16677</v>
      </c>
      <c r="H109" s="5" t="s">
        <v>13</v>
      </c>
      <c r="I109" s="4">
        <v>15937</v>
      </c>
    </row>
    <row r="110" spans="2:10" x14ac:dyDescent="0.55000000000000004">
      <c r="B110" s="5" t="s">
        <v>13</v>
      </c>
      <c r="C110" s="4">
        <v>19967</v>
      </c>
      <c r="E110" s="5" t="s">
        <v>13</v>
      </c>
      <c r="F110" s="4">
        <v>16930</v>
      </c>
      <c r="H110" s="5" t="s">
        <v>13</v>
      </c>
      <c r="I110" s="4">
        <v>15531</v>
      </c>
    </row>
    <row r="111" spans="2:10" x14ac:dyDescent="0.55000000000000004">
      <c r="B111" s="5" t="s">
        <v>13</v>
      </c>
      <c r="C111" s="4">
        <v>19798</v>
      </c>
      <c r="E111" s="5" t="s">
        <v>13</v>
      </c>
      <c r="F111" s="4">
        <v>16647</v>
      </c>
      <c r="H111" s="5" t="s">
        <v>13</v>
      </c>
      <c r="I111" s="4">
        <v>16042</v>
      </c>
    </row>
    <row r="112" spans="2:10" x14ac:dyDescent="0.55000000000000004">
      <c r="B112" s="5" t="s">
        <v>13</v>
      </c>
      <c r="C112" s="4">
        <v>19883</v>
      </c>
      <c r="E112" s="5" t="s">
        <v>13</v>
      </c>
      <c r="F112" s="4">
        <v>16612</v>
      </c>
      <c r="H112" s="5" t="s">
        <v>13</v>
      </c>
      <c r="I112" s="4">
        <v>15456</v>
      </c>
    </row>
    <row r="113" spans="2:10" ht="14.7" thickBot="1" x14ac:dyDescent="0.6">
      <c r="B113" s="5" t="s">
        <v>13</v>
      </c>
      <c r="C113" s="8">
        <v>19785</v>
      </c>
      <c r="E113" s="5" t="s">
        <v>13</v>
      </c>
      <c r="F113" s="8">
        <v>16668</v>
      </c>
      <c r="H113" s="5" t="s">
        <v>13</v>
      </c>
      <c r="I113" s="8">
        <v>15995</v>
      </c>
    </row>
    <row r="114" spans="2:10" ht="14.7" thickBot="1" x14ac:dyDescent="0.6">
      <c r="B114" s="9" t="s">
        <v>14</v>
      </c>
      <c r="C114" s="10">
        <f>AVERAGE(C108:C113)</f>
        <v>19880.833333333332</v>
      </c>
      <c r="D114" s="12">
        <f>$C$33/C114</f>
        <v>5.7885316678542988</v>
      </c>
      <c r="E114" s="9" t="s">
        <v>14</v>
      </c>
      <c r="F114" s="10">
        <f>AVERAGE(F108:F113)</f>
        <v>16729.833333333332</v>
      </c>
      <c r="G114" s="12">
        <f>$C$33/F114</f>
        <v>6.8787794259755533</v>
      </c>
      <c r="H114" s="9" t="s">
        <v>14</v>
      </c>
      <c r="I114" s="10">
        <f>AVERAGE(I108:I113)</f>
        <v>15779.333333333334</v>
      </c>
      <c r="J114" s="12">
        <f>$C$33/I114</f>
        <v>7.2931365921669693</v>
      </c>
    </row>
    <row r="115" spans="2:10" x14ac:dyDescent="0.55000000000000004">
      <c r="B115" s="5" t="s">
        <v>15</v>
      </c>
      <c r="C115" s="6">
        <v>159836</v>
      </c>
      <c r="E115" s="5" t="s">
        <v>15</v>
      </c>
      <c r="F115" s="6">
        <v>132269</v>
      </c>
      <c r="H115" s="5" t="s">
        <v>15</v>
      </c>
      <c r="I115" s="6">
        <v>121049</v>
      </c>
    </row>
    <row r="116" spans="2:10" x14ac:dyDescent="0.55000000000000004">
      <c r="B116" s="5" t="s">
        <v>15</v>
      </c>
      <c r="C116" s="11">
        <v>158716</v>
      </c>
      <c r="E116" s="5" t="s">
        <v>15</v>
      </c>
      <c r="F116" s="4">
        <v>132128</v>
      </c>
      <c r="H116" s="5" t="s">
        <v>15</v>
      </c>
      <c r="I116" s="4">
        <v>119628</v>
      </c>
    </row>
    <row r="117" spans="2:10" x14ac:dyDescent="0.55000000000000004">
      <c r="B117" s="5" t="s">
        <v>15</v>
      </c>
      <c r="C117" s="4">
        <v>160419</v>
      </c>
      <c r="E117" s="5" t="s">
        <v>15</v>
      </c>
      <c r="F117" s="4">
        <v>132574</v>
      </c>
      <c r="H117" s="5" t="s">
        <v>15</v>
      </c>
      <c r="I117" s="4">
        <v>120279</v>
      </c>
    </row>
    <row r="118" spans="2:10" x14ac:dyDescent="0.55000000000000004">
      <c r="B118" s="5" t="s">
        <v>15</v>
      </c>
      <c r="C118" s="4">
        <v>165968</v>
      </c>
      <c r="E118" s="5" t="s">
        <v>15</v>
      </c>
      <c r="F118" s="4">
        <v>133092</v>
      </c>
      <c r="H118" s="5" t="s">
        <v>15</v>
      </c>
      <c r="I118" s="4">
        <v>119373</v>
      </c>
    </row>
    <row r="119" spans="2:10" x14ac:dyDescent="0.55000000000000004">
      <c r="B119" s="5" t="s">
        <v>15</v>
      </c>
      <c r="C119" s="4">
        <v>159578</v>
      </c>
      <c r="E119" s="5" t="s">
        <v>15</v>
      </c>
      <c r="F119" s="4">
        <v>135828</v>
      </c>
      <c r="H119" s="5" t="s">
        <v>15</v>
      </c>
      <c r="I119" s="4">
        <v>121217</v>
      </c>
    </row>
    <row r="120" spans="2:10" ht="14.7" thickBot="1" x14ac:dyDescent="0.6">
      <c r="B120" s="5" t="s">
        <v>15</v>
      </c>
      <c r="C120" s="8">
        <v>165605</v>
      </c>
      <c r="E120" s="5" t="s">
        <v>15</v>
      </c>
      <c r="F120" s="8">
        <v>135658</v>
      </c>
      <c r="H120" s="5" t="s">
        <v>15</v>
      </c>
      <c r="I120" s="8">
        <v>120245</v>
      </c>
    </row>
    <row r="121" spans="2:10" ht="14.7" thickBot="1" x14ac:dyDescent="0.6">
      <c r="B121" s="9" t="s">
        <v>16</v>
      </c>
      <c r="C121" s="10">
        <f>AVERAGE(C115:C120)</f>
        <v>161687</v>
      </c>
      <c r="E121" s="9" t="s">
        <v>16</v>
      </c>
      <c r="F121" s="10">
        <f>AVERAGE(F115:F120)</f>
        <v>133591.5</v>
      </c>
      <c r="H121" s="9" t="s">
        <v>16</v>
      </c>
      <c r="I121" s="10">
        <f>AVERAGE(I115:I120)</f>
        <v>120298.5</v>
      </c>
    </row>
    <row r="122" spans="2:10" x14ac:dyDescent="0.55000000000000004">
      <c r="C122" s="12">
        <f>$C$40/C121</f>
        <v>5.508630873230377</v>
      </c>
      <c r="F122" s="12">
        <f>$C$40/F121</f>
        <v>6.6671457390627396</v>
      </c>
      <c r="I122" s="12">
        <f>$C$40/I121</f>
        <v>7.4038662161207327</v>
      </c>
    </row>
    <row r="126" spans="2:10" ht="14.7" thickBot="1" x14ac:dyDescent="0.6">
      <c r="B126" t="s">
        <v>20</v>
      </c>
      <c r="E126" t="s">
        <v>21</v>
      </c>
      <c r="H126" t="s">
        <v>22</v>
      </c>
    </row>
    <row r="127" spans="2:10" x14ac:dyDescent="0.55000000000000004">
      <c r="B127" s="1" t="s">
        <v>1</v>
      </c>
      <c r="C127" s="2" t="s">
        <v>3</v>
      </c>
      <c r="E127" s="1" t="s">
        <v>1</v>
      </c>
      <c r="F127" s="2" t="s">
        <v>3</v>
      </c>
      <c r="H127" s="1" t="s">
        <v>1</v>
      </c>
      <c r="I127" s="2" t="s">
        <v>3</v>
      </c>
    </row>
    <row r="128" spans="2:10" x14ac:dyDescent="0.55000000000000004">
      <c r="B128" s="3" t="s">
        <v>5</v>
      </c>
      <c r="C128" s="4">
        <v>168</v>
      </c>
      <c r="E128" s="3" t="s">
        <v>5</v>
      </c>
      <c r="F128" s="4">
        <v>168</v>
      </c>
      <c r="H128" s="3" t="s">
        <v>5</v>
      </c>
      <c r="I128" s="4">
        <v>168</v>
      </c>
    </row>
    <row r="129" spans="2:9" x14ac:dyDescent="0.55000000000000004">
      <c r="B129" s="3" t="s">
        <v>5</v>
      </c>
      <c r="C129" s="4">
        <v>161</v>
      </c>
      <c r="E129" s="3" t="s">
        <v>5</v>
      </c>
      <c r="F129" s="4">
        <v>161</v>
      </c>
      <c r="H129" s="3" t="s">
        <v>5</v>
      </c>
      <c r="I129" s="4">
        <v>161</v>
      </c>
    </row>
    <row r="130" spans="2:9" x14ac:dyDescent="0.55000000000000004">
      <c r="B130" s="3" t="s">
        <v>5</v>
      </c>
      <c r="C130" s="4">
        <v>166</v>
      </c>
      <c r="E130" s="3" t="s">
        <v>5</v>
      </c>
      <c r="F130" s="4">
        <v>166</v>
      </c>
      <c r="H130" s="3" t="s">
        <v>5</v>
      </c>
      <c r="I130" s="4">
        <v>166</v>
      </c>
    </row>
    <row r="131" spans="2:9" x14ac:dyDescent="0.55000000000000004">
      <c r="B131" s="3" t="s">
        <v>5</v>
      </c>
      <c r="C131" s="4">
        <v>178</v>
      </c>
      <c r="E131" s="3" t="s">
        <v>5</v>
      </c>
      <c r="F131" s="4">
        <v>178</v>
      </c>
      <c r="H131" s="3" t="s">
        <v>5</v>
      </c>
      <c r="I131" s="4">
        <v>178</v>
      </c>
    </row>
    <row r="132" spans="2:9" x14ac:dyDescent="0.55000000000000004">
      <c r="B132" s="3" t="s">
        <v>5</v>
      </c>
      <c r="C132" s="4">
        <v>163</v>
      </c>
      <c r="E132" s="3" t="s">
        <v>5</v>
      </c>
      <c r="F132" s="4">
        <v>163</v>
      </c>
      <c r="H132" s="3" t="s">
        <v>5</v>
      </c>
      <c r="I132" s="4">
        <v>163</v>
      </c>
    </row>
    <row r="133" spans="2:9" ht="14.7" thickBot="1" x14ac:dyDescent="0.6">
      <c r="B133" s="7" t="s">
        <v>5</v>
      </c>
      <c r="C133" s="8">
        <v>161</v>
      </c>
      <c r="E133" s="7" t="s">
        <v>5</v>
      </c>
      <c r="F133" s="8">
        <v>161</v>
      </c>
      <c r="H133" s="7" t="s">
        <v>5</v>
      </c>
      <c r="I133" s="8">
        <v>161</v>
      </c>
    </row>
    <row r="134" spans="2:9" ht="14.7" thickBot="1" x14ac:dyDescent="0.6">
      <c r="B134" s="9" t="s">
        <v>6</v>
      </c>
      <c r="C134" s="10">
        <f>AVERAGE(C128:C133)</f>
        <v>166.16666666666666</v>
      </c>
      <c r="D134" s="12"/>
      <c r="E134" s="9" t="s">
        <v>6</v>
      </c>
      <c r="F134" s="10">
        <f>AVERAGE(F128:F133)</f>
        <v>166.16666666666666</v>
      </c>
      <c r="H134" s="9" t="s">
        <v>6</v>
      </c>
      <c r="I134" s="10">
        <f>AVERAGE(I128:I133)</f>
        <v>166.16666666666666</v>
      </c>
    </row>
    <row r="135" spans="2:9" x14ac:dyDescent="0.55000000000000004">
      <c r="B135" s="1" t="s">
        <v>2</v>
      </c>
      <c r="C135" s="2">
        <v>345</v>
      </c>
      <c r="E135" s="1" t="s">
        <v>2</v>
      </c>
      <c r="F135" s="2">
        <v>345</v>
      </c>
      <c r="H135" s="1" t="s">
        <v>2</v>
      </c>
      <c r="I135" s="2">
        <v>345</v>
      </c>
    </row>
    <row r="136" spans="2:9" x14ac:dyDescent="0.55000000000000004">
      <c r="B136" s="3" t="s">
        <v>2</v>
      </c>
      <c r="C136" s="4">
        <v>324</v>
      </c>
      <c r="E136" s="3" t="s">
        <v>2</v>
      </c>
      <c r="F136" s="4">
        <v>324</v>
      </c>
      <c r="H136" s="3" t="s">
        <v>2</v>
      </c>
      <c r="I136" s="4">
        <v>324</v>
      </c>
    </row>
    <row r="137" spans="2:9" x14ac:dyDescent="0.55000000000000004">
      <c r="B137" s="3" t="s">
        <v>2</v>
      </c>
      <c r="C137" s="4">
        <v>329</v>
      </c>
      <c r="E137" s="3" t="s">
        <v>2</v>
      </c>
      <c r="F137" s="4">
        <v>329</v>
      </c>
      <c r="H137" s="3" t="s">
        <v>2</v>
      </c>
      <c r="I137" s="4">
        <v>329</v>
      </c>
    </row>
    <row r="138" spans="2:9" x14ac:dyDescent="0.55000000000000004">
      <c r="B138" s="3" t="s">
        <v>2</v>
      </c>
      <c r="C138" s="4">
        <v>332</v>
      </c>
      <c r="E138" s="3" t="s">
        <v>2</v>
      </c>
      <c r="F138" s="4">
        <v>332</v>
      </c>
      <c r="H138" s="3" t="s">
        <v>2</v>
      </c>
      <c r="I138" s="4">
        <v>332</v>
      </c>
    </row>
    <row r="139" spans="2:9" x14ac:dyDescent="0.55000000000000004">
      <c r="B139" s="3" t="s">
        <v>2</v>
      </c>
      <c r="C139" s="4">
        <v>326</v>
      </c>
      <c r="E139" s="3" t="s">
        <v>2</v>
      </c>
      <c r="F139" s="4">
        <v>326</v>
      </c>
      <c r="H139" s="3" t="s">
        <v>2</v>
      </c>
      <c r="I139" s="4">
        <v>326</v>
      </c>
    </row>
    <row r="140" spans="2:9" ht="14.7" thickBot="1" x14ac:dyDescent="0.6">
      <c r="B140" s="7" t="s">
        <v>2</v>
      </c>
      <c r="C140" s="8">
        <v>320</v>
      </c>
      <c r="E140" s="7" t="s">
        <v>2</v>
      </c>
      <c r="F140" s="8">
        <v>320</v>
      </c>
      <c r="H140" s="7" t="s">
        <v>2</v>
      </c>
      <c r="I140" s="8">
        <v>320</v>
      </c>
    </row>
    <row r="141" spans="2:9" ht="14.7" thickBot="1" x14ac:dyDescent="0.6">
      <c r="B141" s="9" t="s">
        <v>4</v>
      </c>
      <c r="C141" s="10">
        <f>AVERAGE(C135:C140)</f>
        <v>329.33333333333331</v>
      </c>
      <c r="E141" s="9" t="s">
        <v>4</v>
      </c>
      <c r="F141" s="10">
        <f>AVERAGE(F135:F140)</f>
        <v>329.33333333333331</v>
      </c>
      <c r="H141" s="9" t="s">
        <v>4</v>
      </c>
      <c r="I141" s="10">
        <f>AVERAGE(I135:I140)</f>
        <v>329.33333333333331</v>
      </c>
    </row>
    <row r="142" spans="2:9" x14ac:dyDescent="0.55000000000000004">
      <c r="B142" s="5" t="s">
        <v>7</v>
      </c>
      <c r="C142" s="6">
        <v>7416</v>
      </c>
      <c r="E142" s="5" t="s">
        <v>7</v>
      </c>
      <c r="F142" s="6">
        <v>4376</v>
      </c>
      <c r="H142" s="5" t="s">
        <v>7</v>
      </c>
      <c r="I142" s="6">
        <v>3123</v>
      </c>
    </row>
    <row r="143" spans="2:9" x14ac:dyDescent="0.55000000000000004">
      <c r="B143" s="3" t="s">
        <v>7</v>
      </c>
      <c r="C143" s="4">
        <v>7293</v>
      </c>
      <c r="E143" s="3" t="s">
        <v>7</v>
      </c>
      <c r="F143" s="4">
        <v>4579</v>
      </c>
      <c r="H143" s="3" t="s">
        <v>7</v>
      </c>
      <c r="I143" s="4">
        <v>3130</v>
      </c>
    </row>
    <row r="144" spans="2:9" x14ac:dyDescent="0.55000000000000004">
      <c r="B144" s="3" t="s">
        <v>7</v>
      </c>
      <c r="C144" s="4">
        <v>7634</v>
      </c>
      <c r="E144" s="3" t="s">
        <v>7</v>
      </c>
      <c r="F144" s="4">
        <v>4313</v>
      </c>
      <c r="H144" s="3" t="s">
        <v>7</v>
      </c>
      <c r="I144" s="4">
        <v>3051</v>
      </c>
    </row>
    <row r="145" spans="2:10" x14ac:dyDescent="0.55000000000000004">
      <c r="B145" s="3" t="s">
        <v>7</v>
      </c>
      <c r="C145" s="4">
        <v>8978</v>
      </c>
      <c r="E145" s="3" t="s">
        <v>7</v>
      </c>
      <c r="F145" s="4">
        <v>4350</v>
      </c>
      <c r="H145" s="3" t="s">
        <v>7</v>
      </c>
      <c r="I145" s="4">
        <v>3055</v>
      </c>
    </row>
    <row r="146" spans="2:10" x14ac:dyDescent="0.55000000000000004">
      <c r="B146" s="3" t="s">
        <v>7</v>
      </c>
      <c r="C146" s="4">
        <v>7013</v>
      </c>
      <c r="E146" s="3" t="s">
        <v>7</v>
      </c>
      <c r="F146" s="4">
        <v>4750</v>
      </c>
      <c r="H146" s="3" t="s">
        <v>7</v>
      </c>
      <c r="I146" s="4">
        <v>3237</v>
      </c>
    </row>
    <row r="147" spans="2:10" ht="14.7" thickBot="1" x14ac:dyDescent="0.6">
      <c r="B147" s="7" t="s">
        <v>7</v>
      </c>
      <c r="C147" s="8">
        <v>7077</v>
      </c>
      <c r="E147" s="7" t="s">
        <v>7</v>
      </c>
      <c r="F147" s="8">
        <v>4976</v>
      </c>
      <c r="H147" s="7" t="s">
        <v>7</v>
      </c>
      <c r="I147" s="8">
        <v>3302</v>
      </c>
    </row>
    <row r="148" spans="2:10" ht="14.7" thickBot="1" x14ac:dyDescent="0.6">
      <c r="B148" s="9" t="s">
        <v>8</v>
      </c>
      <c r="C148" s="10">
        <f>AVERAGE(C142:C147)</f>
        <v>7568.5</v>
      </c>
      <c r="D148">
        <f>$C$26/C148</f>
        <v>2.0744973684790029</v>
      </c>
      <c r="E148" s="9" t="s">
        <v>8</v>
      </c>
      <c r="F148" s="10">
        <f>AVERAGE(F142:F147)</f>
        <v>4557.333333333333</v>
      </c>
      <c r="G148">
        <f>$C$26/F148</f>
        <v>3.4451799297834995</v>
      </c>
      <c r="H148" s="9" t="s">
        <v>8</v>
      </c>
      <c r="I148" s="10">
        <f>AVERAGE(I142:I147)</f>
        <v>3149.6666666666665</v>
      </c>
      <c r="J148">
        <f>$C$26/I148</f>
        <v>4.9849190390517517</v>
      </c>
    </row>
    <row r="149" spans="2:10" x14ac:dyDescent="0.55000000000000004">
      <c r="B149" s="5" t="s">
        <v>13</v>
      </c>
      <c r="C149" s="6">
        <v>58328</v>
      </c>
      <c r="E149" s="5" t="s">
        <v>13</v>
      </c>
      <c r="F149" s="6">
        <v>39250</v>
      </c>
      <c r="H149" s="5" t="s">
        <v>13</v>
      </c>
      <c r="I149" s="6">
        <v>24920</v>
      </c>
    </row>
    <row r="150" spans="2:10" x14ac:dyDescent="0.55000000000000004">
      <c r="B150" s="5" t="s">
        <v>13</v>
      </c>
      <c r="C150" s="4">
        <v>56277</v>
      </c>
      <c r="E150" s="5" t="s">
        <v>13</v>
      </c>
      <c r="F150" s="4">
        <v>35299</v>
      </c>
      <c r="H150" s="5" t="s">
        <v>13</v>
      </c>
      <c r="I150" s="4">
        <v>24592</v>
      </c>
    </row>
    <row r="151" spans="2:10" x14ac:dyDescent="0.55000000000000004">
      <c r="B151" s="5" t="s">
        <v>13</v>
      </c>
      <c r="C151" s="4">
        <v>63191</v>
      </c>
      <c r="E151" s="5" t="s">
        <v>13</v>
      </c>
      <c r="F151" s="4">
        <v>40825</v>
      </c>
      <c r="H151" s="5" t="s">
        <v>13</v>
      </c>
      <c r="I151" s="4">
        <v>25990</v>
      </c>
    </row>
    <row r="152" spans="2:10" x14ac:dyDescent="0.55000000000000004">
      <c r="B152" s="5" t="s">
        <v>13</v>
      </c>
      <c r="C152" s="4">
        <v>63622</v>
      </c>
      <c r="E152" s="5" t="s">
        <v>13</v>
      </c>
      <c r="F152" s="4">
        <v>40170</v>
      </c>
      <c r="H152" s="5" t="s">
        <v>13</v>
      </c>
      <c r="I152" s="4">
        <v>26253</v>
      </c>
    </row>
    <row r="153" spans="2:10" x14ac:dyDescent="0.55000000000000004">
      <c r="B153" s="5" t="s">
        <v>13</v>
      </c>
      <c r="C153" s="4">
        <v>56001</v>
      </c>
      <c r="E153" s="5" t="s">
        <v>13</v>
      </c>
      <c r="F153" s="4">
        <v>39001</v>
      </c>
      <c r="H153" s="5" t="s">
        <v>13</v>
      </c>
      <c r="I153" s="4">
        <v>25001</v>
      </c>
    </row>
    <row r="154" spans="2:10" ht="14.7" thickBot="1" x14ac:dyDescent="0.6">
      <c r="B154" s="5" t="s">
        <v>13</v>
      </c>
      <c r="C154" s="8">
        <v>56456</v>
      </c>
      <c r="E154" s="5" t="s">
        <v>13</v>
      </c>
      <c r="F154" s="8">
        <v>39456</v>
      </c>
      <c r="H154" s="5" t="s">
        <v>13</v>
      </c>
      <c r="I154" s="8">
        <v>25456</v>
      </c>
    </row>
    <row r="155" spans="2:10" ht="14.7" thickBot="1" x14ac:dyDescent="0.6">
      <c r="B155" s="9" t="s">
        <v>14</v>
      </c>
      <c r="C155" s="10">
        <f>AVERAGE(C149:C154)</f>
        <v>58979.166666666664</v>
      </c>
      <c r="D155" s="12">
        <f>$C$33/C155</f>
        <v>1.9512115860120098</v>
      </c>
      <c r="E155" s="9" t="s">
        <v>14</v>
      </c>
      <c r="F155" s="10">
        <f>AVERAGE(F149:F154)</f>
        <v>39000.166666666664</v>
      </c>
      <c r="G155" s="12">
        <f>$C$33/F155</f>
        <v>2.9507779881282561</v>
      </c>
      <c r="H155" s="9" t="s">
        <v>14</v>
      </c>
      <c r="I155" s="10">
        <f>AVERAGE(I149:I154)</f>
        <v>25368.666666666668</v>
      </c>
      <c r="J155" s="12">
        <f>$C$33/I155</f>
        <v>4.5363374766772653</v>
      </c>
    </row>
    <row r="156" spans="2:10" x14ac:dyDescent="0.55000000000000004">
      <c r="B156" s="5" t="s">
        <v>15</v>
      </c>
      <c r="C156" s="6">
        <v>463074</v>
      </c>
      <c r="E156" s="5" t="s">
        <v>15</v>
      </c>
      <c r="F156" s="6">
        <v>263422</v>
      </c>
      <c r="H156" s="5" t="s">
        <v>15</v>
      </c>
      <c r="I156" s="6">
        <v>195915</v>
      </c>
    </row>
    <row r="157" spans="2:10" x14ac:dyDescent="0.55000000000000004">
      <c r="B157" s="5" t="s">
        <v>15</v>
      </c>
      <c r="C157" s="4">
        <v>453157</v>
      </c>
      <c r="E157" s="5" t="s">
        <v>15</v>
      </c>
      <c r="F157" s="4">
        <v>264780</v>
      </c>
      <c r="H157" s="5" t="s">
        <v>15</v>
      </c>
      <c r="I157" s="4">
        <v>213130</v>
      </c>
    </row>
    <row r="158" spans="2:10" x14ac:dyDescent="0.55000000000000004">
      <c r="B158" s="5" t="s">
        <v>15</v>
      </c>
      <c r="C158" s="4">
        <v>511546</v>
      </c>
      <c r="E158" s="5" t="s">
        <v>15</v>
      </c>
      <c r="F158" s="4">
        <v>298124</v>
      </c>
      <c r="H158" s="5" t="s">
        <v>15</v>
      </c>
      <c r="I158" s="4">
        <v>196683</v>
      </c>
    </row>
    <row r="159" spans="2:10" x14ac:dyDescent="0.55000000000000004">
      <c r="B159" s="5" t="s">
        <v>15</v>
      </c>
      <c r="C159" s="4">
        <v>489532</v>
      </c>
      <c r="E159" s="5" t="s">
        <v>15</v>
      </c>
      <c r="F159" s="4">
        <v>300562</v>
      </c>
      <c r="H159" s="5" t="s">
        <v>15</v>
      </c>
      <c r="I159" s="4">
        <v>195746</v>
      </c>
    </row>
    <row r="160" spans="2:10" x14ac:dyDescent="0.55000000000000004">
      <c r="B160" s="5" t="s">
        <v>15</v>
      </c>
      <c r="C160" s="4">
        <v>437159</v>
      </c>
      <c r="E160" s="5" t="s">
        <v>15</v>
      </c>
      <c r="F160" s="4">
        <v>256971</v>
      </c>
      <c r="H160" s="5" t="s">
        <v>15</v>
      </c>
      <c r="I160" s="4">
        <v>196682</v>
      </c>
    </row>
    <row r="161" spans="2:9" ht="14.7" thickBot="1" x14ac:dyDescent="0.6">
      <c r="B161" s="5" t="s">
        <v>15</v>
      </c>
      <c r="C161" s="8">
        <v>437181</v>
      </c>
      <c r="E161" s="5" t="s">
        <v>15</v>
      </c>
      <c r="F161" s="8">
        <v>259479</v>
      </c>
      <c r="H161" s="5" t="s">
        <v>15</v>
      </c>
      <c r="I161" s="8">
        <v>195491</v>
      </c>
    </row>
    <row r="162" spans="2:9" ht="14.7" thickBot="1" x14ac:dyDescent="0.6">
      <c r="B162" s="9" t="s">
        <v>16</v>
      </c>
      <c r="C162" s="10">
        <f>AVERAGE(C156:C161)</f>
        <v>465274.83333333331</v>
      </c>
      <c r="E162" s="9" t="s">
        <v>16</v>
      </c>
      <c r="F162" s="10">
        <f>AVERAGE(F156:F161)</f>
        <v>273889.66666666669</v>
      </c>
      <c r="H162" s="9" t="s">
        <v>16</v>
      </c>
      <c r="I162" s="10">
        <f>AVERAGE(I156:I161)</f>
        <v>198941.16666666666</v>
      </c>
    </row>
    <row r="163" spans="2:9" x14ac:dyDescent="0.55000000000000004">
      <c r="C163" s="12">
        <f>$C$40/C162</f>
        <v>1.9142965322646222</v>
      </c>
      <c r="F163" s="12">
        <f>$C$40/F162</f>
        <v>3.2519445178046147</v>
      </c>
      <c r="I163" s="12">
        <f>$C$40/I162</f>
        <v>4.4770723672911679</v>
      </c>
    </row>
    <row r="166" spans="2:9" ht="14.7" thickBot="1" x14ac:dyDescent="0.6">
      <c r="B166" t="s">
        <v>23</v>
      </c>
      <c r="E166" t="s">
        <v>24</v>
      </c>
      <c r="H166" t="s">
        <v>25</v>
      </c>
    </row>
    <row r="167" spans="2:9" x14ac:dyDescent="0.55000000000000004">
      <c r="B167" s="1" t="s">
        <v>1</v>
      </c>
      <c r="C167" s="2" t="s">
        <v>3</v>
      </c>
      <c r="E167" s="1" t="s">
        <v>1</v>
      </c>
      <c r="F167" s="2" t="s">
        <v>3</v>
      </c>
      <c r="H167" s="1" t="s">
        <v>1</v>
      </c>
      <c r="I167" s="2" t="s">
        <v>3</v>
      </c>
    </row>
    <row r="168" spans="2:9" x14ac:dyDescent="0.55000000000000004">
      <c r="B168" s="3" t="s">
        <v>5</v>
      </c>
      <c r="C168" s="4">
        <v>168</v>
      </c>
      <c r="E168" s="3" t="s">
        <v>5</v>
      </c>
      <c r="F168" s="4">
        <v>168</v>
      </c>
      <c r="H168" s="3" t="s">
        <v>5</v>
      </c>
      <c r="I168" s="4">
        <v>9</v>
      </c>
    </row>
    <row r="169" spans="2:9" x14ac:dyDescent="0.55000000000000004">
      <c r="B169" s="3" t="s">
        <v>5</v>
      </c>
      <c r="C169" s="4">
        <v>161</v>
      </c>
      <c r="E169" s="3" t="s">
        <v>5</v>
      </c>
      <c r="F169" s="4">
        <v>161</v>
      </c>
      <c r="H169" s="3" t="s">
        <v>5</v>
      </c>
      <c r="I169" s="4">
        <v>6</v>
      </c>
    </row>
    <row r="170" spans="2:9" x14ac:dyDescent="0.55000000000000004">
      <c r="B170" s="3" t="s">
        <v>5</v>
      </c>
      <c r="C170" s="4">
        <v>166</v>
      </c>
      <c r="E170" s="3" t="s">
        <v>5</v>
      </c>
      <c r="F170" s="4">
        <v>166</v>
      </c>
      <c r="H170" s="3" t="s">
        <v>5</v>
      </c>
      <c r="I170" s="4">
        <v>8</v>
      </c>
    </row>
    <row r="171" spans="2:9" x14ac:dyDescent="0.55000000000000004">
      <c r="B171" s="3" t="s">
        <v>5</v>
      </c>
      <c r="C171" s="4">
        <v>178</v>
      </c>
      <c r="E171" s="3" t="s">
        <v>5</v>
      </c>
      <c r="F171" s="4">
        <v>178</v>
      </c>
      <c r="H171" s="3" t="s">
        <v>5</v>
      </c>
      <c r="I171" s="4">
        <v>6</v>
      </c>
    </row>
    <row r="172" spans="2:9" x14ac:dyDescent="0.55000000000000004">
      <c r="B172" s="3" t="s">
        <v>5</v>
      </c>
      <c r="C172" s="4">
        <v>163</v>
      </c>
      <c r="E172" s="3" t="s">
        <v>5</v>
      </c>
      <c r="F172" s="4">
        <v>163</v>
      </c>
      <c r="H172" s="3" t="s">
        <v>5</v>
      </c>
      <c r="I172" s="4">
        <v>8</v>
      </c>
    </row>
    <row r="173" spans="2:9" ht="14.7" thickBot="1" x14ac:dyDescent="0.6">
      <c r="B173" s="7" t="s">
        <v>5</v>
      </c>
      <c r="C173" s="8">
        <v>161</v>
      </c>
      <c r="E173" s="7" t="s">
        <v>5</v>
      </c>
      <c r="F173" s="8">
        <v>161</v>
      </c>
      <c r="H173" s="7" t="s">
        <v>5</v>
      </c>
      <c r="I173" s="8">
        <v>6</v>
      </c>
    </row>
    <row r="174" spans="2:9" ht="14.7" thickBot="1" x14ac:dyDescent="0.6">
      <c r="B174" s="9" t="s">
        <v>6</v>
      </c>
      <c r="C174" s="10">
        <f>AVERAGE(C168:C173)</f>
        <v>166.16666666666666</v>
      </c>
      <c r="E174" s="9" t="s">
        <v>6</v>
      </c>
      <c r="F174" s="10">
        <f>AVERAGE(F168:F173)</f>
        <v>166.16666666666666</v>
      </c>
      <c r="H174" s="9" t="s">
        <v>6</v>
      </c>
      <c r="I174" s="10">
        <f>AVERAGE(I168:I173)</f>
        <v>7.166666666666667</v>
      </c>
    </row>
    <row r="175" spans="2:9" x14ac:dyDescent="0.55000000000000004">
      <c r="B175" s="1" t="s">
        <v>2</v>
      </c>
      <c r="C175" s="2">
        <v>345</v>
      </c>
      <c r="E175" s="1" t="s">
        <v>2</v>
      </c>
      <c r="F175" s="2">
        <v>345</v>
      </c>
      <c r="H175" s="1" t="s">
        <v>2</v>
      </c>
      <c r="I175" s="2">
        <v>50</v>
      </c>
    </row>
    <row r="176" spans="2:9" x14ac:dyDescent="0.55000000000000004">
      <c r="B176" s="3" t="s">
        <v>2</v>
      </c>
      <c r="C176" s="4">
        <v>324</v>
      </c>
      <c r="E176" s="3" t="s">
        <v>2</v>
      </c>
      <c r="F176" s="4">
        <v>324</v>
      </c>
      <c r="H176" s="3" t="s">
        <v>2</v>
      </c>
      <c r="I176" s="4">
        <v>32</v>
      </c>
    </row>
    <row r="177" spans="2:10" x14ac:dyDescent="0.55000000000000004">
      <c r="B177" s="3" t="s">
        <v>2</v>
      </c>
      <c r="C177" s="4">
        <v>329</v>
      </c>
      <c r="E177" s="3" t="s">
        <v>2</v>
      </c>
      <c r="F177" s="4">
        <v>329</v>
      </c>
      <c r="H177" s="3" t="s">
        <v>2</v>
      </c>
      <c r="I177" s="4">
        <v>56</v>
      </c>
    </row>
    <row r="178" spans="2:10" x14ac:dyDescent="0.55000000000000004">
      <c r="B178" s="3" t="s">
        <v>2</v>
      </c>
      <c r="C178" s="4">
        <v>332</v>
      </c>
      <c r="E178" s="3" t="s">
        <v>2</v>
      </c>
      <c r="F178" s="4">
        <v>332</v>
      </c>
      <c r="H178" s="3" t="s">
        <v>2</v>
      </c>
      <c r="I178" s="4">
        <v>38</v>
      </c>
    </row>
    <row r="179" spans="2:10" x14ac:dyDescent="0.55000000000000004">
      <c r="B179" s="3" t="s">
        <v>2</v>
      </c>
      <c r="C179" s="4">
        <v>326</v>
      </c>
      <c r="E179" s="3" t="s">
        <v>2</v>
      </c>
      <c r="F179" s="4">
        <v>326</v>
      </c>
      <c r="H179" s="3" t="s">
        <v>2</v>
      </c>
      <c r="I179" s="4">
        <v>50</v>
      </c>
    </row>
    <row r="180" spans="2:10" ht="14.7" thickBot="1" x14ac:dyDescent="0.6">
      <c r="B180" s="7" t="s">
        <v>2</v>
      </c>
      <c r="C180" s="8">
        <v>320</v>
      </c>
      <c r="E180" s="7" t="s">
        <v>2</v>
      </c>
      <c r="F180" s="8">
        <v>320</v>
      </c>
      <c r="H180" s="7" t="s">
        <v>2</v>
      </c>
      <c r="I180" s="8">
        <v>38</v>
      </c>
    </row>
    <row r="181" spans="2:10" ht="14.7" thickBot="1" x14ac:dyDescent="0.6">
      <c r="B181" s="9" t="s">
        <v>4</v>
      </c>
      <c r="C181" s="10">
        <f>AVERAGE(C175:C180)</f>
        <v>329.33333333333331</v>
      </c>
      <c r="E181" s="9" t="s">
        <v>4</v>
      </c>
      <c r="F181" s="10">
        <f>AVERAGE(F175:F180)</f>
        <v>329.33333333333331</v>
      </c>
      <c r="H181" s="9" t="s">
        <v>4</v>
      </c>
      <c r="I181" s="10">
        <f>AVERAGE(I175:I180)</f>
        <v>44</v>
      </c>
    </row>
    <row r="182" spans="2:10" x14ac:dyDescent="0.55000000000000004">
      <c r="B182" s="5" t="s">
        <v>7</v>
      </c>
      <c r="C182" s="6">
        <v>2532</v>
      </c>
      <c r="E182" s="5" t="s">
        <v>7</v>
      </c>
      <c r="F182" s="6">
        <v>2058</v>
      </c>
      <c r="H182" s="5" t="s">
        <v>7</v>
      </c>
      <c r="I182" s="6">
        <v>1880</v>
      </c>
    </row>
    <row r="183" spans="2:10" x14ac:dyDescent="0.55000000000000004">
      <c r="B183" s="3" t="s">
        <v>7</v>
      </c>
      <c r="C183" s="4">
        <v>2401</v>
      </c>
      <c r="E183" s="3" t="s">
        <v>7</v>
      </c>
      <c r="F183" s="4">
        <v>2012</v>
      </c>
      <c r="H183" s="3" t="s">
        <v>7</v>
      </c>
      <c r="I183" s="4">
        <v>2077</v>
      </c>
    </row>
    <row r="184" spans="2:10" x14ac:dyDescent="0.55000000000000004">
      <c r="B184" s="3" t="s">
        <v>7</v>
      </c>
      <c r="C184" s="4">
        <v>2563</v>
      </c>
      <c r="E184" s="3" t="s">
        <v>7</v>
      </c>
      <c r="F184" s="4">
        <v>2080</v>
      </c>
      <c r="H184" s="3" t="s">
        <v>7</v>
      </c>
      <c r="I184" s="4">
        <v>2013</v>
      </c>
    </row>
    <row r="185" spans="2:10" x14ac:dyDescent="0.55000000000000004">
      <c r="B185" s="3" t="s">
        <v>7</v>
      </c>
      <c r="C185" s="4">
        <v>2430</v>
      </c>
      <c r="E185" s="3" t="s">
        <v>7</v>
      </c>
      <c r="F185" s="4">
        <v>2030</v>
      </c>
      <c r="H185" s="3" t="s">
        <v>7</v>
      </c>
      <c r="I185" s="4">
        <v>1980</v>
      </c>
    </row>
    <row r="186" spans="2:10" x14ac:dyDescent="0.55000000000000004">
      <c r="B186" s="3" t="s">
        <v>7</v>
      </c>
      <c r="C186" s="4">
        <v>2482</v>
      </c>
      <c r="E186" s="3" t="s">
        <v>7</v>
      </c>
      <c r="F186" s="4">
        <v>2158</v>
      </c>
      <c r="H186" s="3" t="s">
        <v>7</v>
      </c>
      <c r="I186" s="4">
        <v>1948</v>
      </c>
    </row>
    <row r="187" spans="2:10" ht="14.7" thickBot="1" x14ac:dyDescent="0.6">
      <c r="B187" s="7" t="s">
        <v>7</v>
      </c>
      <c r="C187" s="8">
        <v>2399</v>
      </c>
      <c r="E187" s="7" t="s">
        <v>7</v>
      </c>
      <c r="F187" s="8">
        <v>2034</v>
      </c>
      <c r="H187" s="7" t="s">
        <v>7</v>
      </c>
      <c r="I187" s="8">
        <v>1982</v>
      </c>
    </row>
    <row r="188" spans="2:10" ht="14.7" thickBot="1" x14ac:dyDescent="0.6">
      <c r="B188" s="9" t="s">
        <v>8</v>
      </c>
      <c r="C188" s="10">
        <f>AVERAGE(C182:C187)</f>
        <v>2467.8333333333335</v>
      </c>
      <c r="D188">
        <f>$C$26/C188</f>
        <v>6.3621935571013708</v>
      </c>
      <c r="E188" s="9" t="s">
        <v>8</v>
      </c>
      <c r="F188" s="10">
        <f>AVERAGE(F182:F187)</f>
        <v>2062</v>
      </c>
      <c r="G188">
        <f>$C$26/F188</f>
        <v>7.614371160685419</v>
      </c>
      <c r="H188" s="9" t="s">
        <v>8</v>
      </c>
      <c r="I188" s="10">
        <f>AVERAGE(I182:I187)</f>
        <v>1980</v>
      </c>
      <c r="J188">
        <f>$C$26/I188</f>
        <v>7.9297138047138054</v>
      </c>
    </row>
    <row r="189" spans="2:10" x14ac:dyDescent="0.55000000000000004">
      <c r="B189" s="5" t="s">
        <v>13</v>
      </c>
      <c r="C189" s="6">
        <v>19570</v>
      </c>
      <c r="E189" s="5" t="s">
        <v>13</v>
      </c>
      <c r="F189" s="6">
        <v>15612</v>
      </c>
      <c r="H189" s="5" t="s">
        <v>13</v>
      </c>
      <c r="I189" s="6">
        <v>14685</v>
      </c>
    </row>
    <row r="190" spans="2:10" x14ac:dyDescent="0.55000000000000004">
      <c r="B190" s="5" t="s">
        <v>13</v>
      </c>
      <c r="C190" s="4">
        <v>18962</v>
      </c>
      <c r="E190" s="5" t="s">
        <v>13</v>
      </c>
      <c r="F190" s="4">
        <v>16501</v>
      </c>
      <c r="H190" s="5" t="s">
        <v>13</v>
      </c>
      <c r="I190" s="4">
        <v>15146</v>
      </c>
    </row>
    <row r="191" spans="2:10" x14ac:dyDescent="0.55000000000000004">
      <c r="B191" s="5" t="s">
        <v>13</v>
      </c>
      <c r="C191" s="4">
        <v>19320</v>
      </c>
      <c r="E191" s="5" t="s">
        <v>13</v>
      </c>
      <c r="F191" s="4">
        <v>15889</v>
      </c>
      <c r="H191" s="5" t="s">
        <v>13</v>
      </c>
      <c r="I191" s="4">
        <v>15076</v>
      </c>
    </row>
    <row r="192" spans="2:10" x14ac:dyDescent="0.55000000000000004">
      <c r="B192" s="5" t="s">
        <v>13</v>
      </c>
      <c r="C192" s="4">
        <v>19339</v>
      </c>
      <c r="E192" s="5" t="s">
        <v>13</v>
      </c>
      <c r="F192" s="4">
        <v>15500</v>
      </c>
      <c r="H192" s="5" t="s">
        <v>13</v>
      </c>
      <c r="I192" s="4">
        <v>14466</v>
      </c>
    </row>
    <row r="193" spans="2:10" x14ac:dyDescent="0.55000000000000004">
      <c r="B193" s="5" t="s">
        <v>13</v>
      </c>
      <c r="C193" s="4">
        <v>19001</v>
      </c>
      <c r="E193" s="5" t="s">
        <v>13</v>
      </c>
      <c r="F193" s="4">
        <v>16001</v>
      </c>
      <c r="H193" s="5" t="s">
        <v>13</v>
      </c>
      <c r="I193" s="4">
        <v>15001</v>
      </c>
    </row>
    <row r="194" spans="2:10" ht="14.7" thickBot="1" x14ac:dyDescent="0.6">
      <c r="B194" s="5" t="s">
        <v>13</v>
      </c>
      <c r="C194" s="8">
        <v>19456</v>
      </c>
      <c r="E194" s="5" t="s">
        <v>13</v>
      </c>
      <c r="F194" s="8">
        <v>16456</v>
      </c>
      <c r="H194" s="5" t="s">
        <v>13</v>
      </c>
      <c r="I194" s="8">
        <v>14456</v>
      </c>
    </row>
    <row r="195" spans="2:10" ht="14.7" thickBot="1" x14ac:dyDescent="0.6">
      <c r="B195" s="9" t="s">
        <v>14</v>
      </c>
      <c r="C195" s="10">
        <f>AVERAGE(C189:C194)</f>
        <v>19274.666666666668</v>
      </c>
      <c r="D195" s="12">
        <f>$C$33/C195</f>
        <v>5.9705745019369116</v>
      </c>
      <c r="E195" s="9" t="s">
        <v>14</v>
      </c>
      <c r="F195" s="10">
        <f>AVERAGE(F189:F194)</f>
        <v>15993.166666666666</v>
      </c>
      <c r="G195" s="12">
        <f>$C$33/F195</f>
        <v>7.1956252149355455</v>
      </c>
      <c r="H195" s="9" t="s">
        <v>14</v>
      </c>
      <c r="I195" s="10">
        <f>AVERAGE(I189:I194)</f>
        <v>14805</v>
      </c>
      <c r="J195" s="12">
        <f>$C$33/I195</f>
        <v>7.7731059326804006</v>
      </c>
    </row>
    <row r="196" spans="2:10" x14ac:dyDescent="0.55000000000000004">
      <c r="B196" s="5" t="s">
        <v>15</v>
      </c>
      <c r="C196" s="6">
        <v>148737</v>
      </c>
      <c r="E196" s="5" t="s">
        <v>15</v>
      </c>
      <c r="F196" s="6">
        <v>130613</v>
      </c>
      <c r="H196" s="5" t="s">
        <v>15</v>
      </c>
      <c r="I196" s="6">
        <v>117085</v>
      </c>
    </row>
    <row r="197" spans="2:10" x14ac:dyDescent="0.55000000000000004">
      <c r="B197" s="5" t="s">
        <v>15</v>
      </c>
      <c r="C197" s="4">
        <v>156870</v>
      </c>
      <c r="E197" s="5" t="s">
        <v>15</v>
      </c>
      <c r="F197" s="4">
        <v>127083</v>
      </c>
      <c r="H197" s="5" t="s">
        <v>15</v>
      </c>
      <c r="I197" s="4">
        <v>118878</v>
      </c>
    </row>
    <row r="198" spans="2:10" x14ac:dyDescent="0.55000000000000004">
      <c r="B198" s="5" t="s">
        <v>15</v>
      </c>
      <c r="C198" s="4">
        <v>148737</v>
      </c>
      <c r="E198" s="5" t="s">
        <v>15</v>
      </c>
      <c r="F198" s="4">
        <v>127123</v>
      </c>
      <c r="H198" s="5" t="s">
        <v>15</v>
      </c>
      <c r="I198" s="4">
        <v>118570</v>
      </c>
    </row>
    <row r="199" spans="2:10" x14ac:dyDescent="0.55000000000000004">
      <c r="B199" s="5" t="s">
        <v>15</v>
      </c>
      <c r="C199" s="4">
        <v>156870</v>
      </c>
      <c r="E199" s="5" t="s">
        <v>15</v>
      </c>
      <c r="F199" s="4">
        <v>114756</v>
      </c>
      <c r="H199" s="5" t="s">
        <v>15</v>
      </c>
      <c r="I199" s="4">
        <v>119764</v>
      </c>
    </row>
    <row r="200" spans="2:10" x14ac:dyDescent="0.55000000000000004">
      <c r="B200" s="5" t="s">
        <v>15</v>
      </c>
      <c r="C200" s="6">
        <v>150590</v>
      </c>
      <c r="E200" s="5" t="s">
        <v>15</v>
      </c>
      <c r="F200" s="4">
        <v>127089</v>
      </c>
      <c r="H200" s="5" t="s">
        <v>15</v>
      </c>
      <c r="I200" s="4">
        <v>117884</v>
      </c>
    </row>
    <row r="201" spans="2:10" ht="14.7" thickBot="1" x14ac:dyDescent="0.6">
      <c r="B201" s="5" t="s">
        <v>15</v>
      </c>
      <c r="C201" s="4">
        <v>151983</v>
      </c>
      <c r="E201" s="5" t="s">
        <v>15</v>
      </c>
      <c r="F201" s="8">
        <v>125666</v>
      </c>
      <c r="H201" s="5" t="s">
        <v>15</v>
      </c>
      <c r="I201" s="8">
        <v>118182</v>
      </c>
    </row>
    <row r="202" spans="2:10" ht="14.7" thickBot="1" x14ac:dyDescent="0.6">
      <c r="B202" s="9" t="s">
        <v>16</v>
      </c>
      <c r="C202" s="10">
        <f>AVERAGE(C196:C201)</f>
        <v>152297.83333333334</v>
      </c>
      <c r="E202" s="9" t="s">
        <v>16</v>
      </c>
      <c r="F202" s="10">
        <f>AVERAGE(F196:F201)</f>
        <v>125388.33333333333</v>
      </c>
      <c r="H202" s="9" t="s">
        <v>16</v>
      </c>
      <c r="I202" s="10">
        <f>AVERAGE(I196:I201)</f>
        <v>118393.83333333333</v>
      </c>
    </row>
    <row r="203" spans="2:10" x14ac:dyDescent="0.55000000000000004">
      <c r="C203" s="12">
        <f>$C$40/C202</f>
        <v>5.8482381561567411</v>
      </c>
      <c r="F203" s="12">
        <f>$C$40/F202</f>
        <v>7.1033243390533416</v>
      </c>
      <c r="I203" s="12">
        <f>$C$40/I202</f>
        <v>7.5229762811407692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Архипкин</dc:creator>
  <cp:lastModifiedBy>Вячеслав Архипкин</cp:lastModifiedBy>
  <dcterms:created xsi:type="dcterms:W3CDTF">2026-02-23T15:16:25Z</dcterms:created>
  <dcterms:modified xsi:type="dcterms:W3CDTF">2026-03-21T13:31:19Z</dcterms:modified>
</cp:coreProperties>
</file>